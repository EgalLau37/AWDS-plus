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!Data\!Gaming\Emulators\DS\Hacking\!Hacks\!AWDS_Lau\GitHubClone\AWDS-plus\info\"/>
    </mc:Choice>
  </mc:AlternateContent>
  <xr:revisionPtr revIDLastSave="0" documentId="13_ncr:1_{25855EFD-8303-4448-AD6E-876B3A1EF9F6}" xr6:coauthVersionLast="47" xr6:coauthVersionMax="47" xr10:uidLastSave="{00000000-0000-0000-0000-000000000000}"/>
  <bookViews>
    <workbookView xWindow="-103" yWindow="497" windowWidth="22149" windowHeight="13320" activeTab="1" xr2:uid="{00000000-000D-0000-FFFF-FFFF00000000}"/>
  </bookViews>
  <sheets>
    <sheet name="Sheet1" sheetId="1" r:id="rId1"/>
    <sheet name="Factions" sheetId="2" r:id="rId2"/>
    <sheet name="Units" sheetId="3" r:id="rId3"/>
    <sheet name="Map" sheetId="4" r:id="rId4"/>
    <sheet name="Map (2)" sheetId="5" r:id="rId5"/>
    <sheet name="ID list" sheetId="6" r:id="rId6"/>
    <sheet name="arm9" sheetId="7" r:id="rId7"/>
    <sheet name="RAM calculator" sheetId="16" r:id="rId8"/>
    <sheet name="overlay_0000" sheetId="8" r:id="rId9"/>
    <sheet name="overlay_0001" sheetId="9" r:id="rId10"/>
    <sheet name="overlay_0002" sheetId="10" r:id="rId11"/>
    <sheet name="overlay_0003" sheetId="11" r:id="rId12"/>
    <sheet name="overlay_0004" sheetId="12" r:id="rId13"/>
    <sheet name="overlay_0005" sheetId="13" r:id="rId14"/>
    <sheet name="overlay_0006" sheetId="14" r:id="rId15"/>
    <sheet name="overlay_0007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6" l="1"/>
  <c r="G10" i="16"/>
  <c r="G9" i="16"/>
  <c r="G8" i="16"/>
  <c r="G5" i="16"/>
  <c r="G6" i="16"/>
  <c r="G4" i="16"/>
  <c r="F11" i="16"/>
  <c r="F10" i="16"/>
  <c r="F9" i="16"/>
  <c r="F8" i="16"/>
  <c r="F5" i="16"/>
  <c r="F6" i="16"/>
  <c r="F4" i="16"/>
  <c r="F7" i="16"/>
  <c r="G7" i="16"/>
  <c r="G3" i="16"/>
  <c r="F3" i="16"/>
  <c r="A24" i="5" l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I4" i="3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H6" i="3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4" i="3"/>
  <c r="H5" i="3" s="1"/>
  <c r="H3" i="3"/>
  <c r="I3" i="3"/>
  <c r="J3" i="3"/>
  <c r="J2" i="3"/>
  <c r="I2" i="3"/>
  <c r="H2" i="3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4" i="3"/>
  <c r="G2" i="3"/>
  <c r="G3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D2" i="3"/>
  <c r="E2" i="3" s="1"/>
  <c r="G98" i="2"/>
  <c r="D98" i="2"/>
  <c r="H98" i="2" s="1"/>
  <c r="G97" i="2"/>
  <c r="D97" i="2"/>
  <c r="H97" i="2" s="1"/>
  <c r="G96" i="2"/>
  <c r="E96" i="2"/>
  <c r="D96" i="2"/>
  <c r="H96" i="2" s="1"/>
  <c r="G95" i="2"/>
  <c r="D95" i="2"/>
  <c r="G94" i="2"/>
  <c r="D94" i="2"/>
  <c r="H94" i="2" s="1"/>
  <c r="H93" i="2"/>
  <c r="G93" i="2"/>
  <c r="D93" i="2"/>
  <c r="E93" i="2" s="1"/>
  <c r="G92" i="2"/>
  <c r="D92" i="2"/>
  <c r="H92" i="2" s="1"/>
  <c r="H91" i="2"/>
  <c r="G91" i="2"/>
  <c r="D91" i="2"/>
  <c r="E91" i="2" s="1"/>
  <c r="I91" i="2" s="1"/>
  <c r="G90" i="2"/>
  <c r="E90" i="2"/>
  <c r="D90" i="2"/>
  <c r="H90" i="2" s="1"/>
  <c r="G89" i="2"/>
  <c r="D89" i="2"/>
  <c r="G88" i="2"/>
  <c r="E88" i="2"/>
  <c r="D88" i="2"/>
  <c r="H88" i="2" s="1"/>
  <c r="G87" i="2"/>
  <c r="D87" i="2"/>
  <c r="G86" i="2"/>
  <c r="D86" i="2"/>
  <c r="H86" i="2" s="1"/>
  <c r="H85" i="2"/>
  <c r="G85" i="2"/>
  <c r="D85" i="2"/>
  <c r="E85" i="2" s="1"/>
  <c r="I84" i="2"/>
  <c r="H84" i="2"/>
  <c r="G84" i="2"/>
  <c r="E84" i="2"/>
  <c r="F84" i="2" s="1"/>
  <c r="J84" i="2" s="1"/>
  <c r="D84" i="2"/>
  <c r="H83" i="2"/>
  <c r="G83" i="2"/>
  <c r="D83" i="2"/>
  <c r="E83" i="2" s="1"/>
  <c r="I83" i="2" s="1"/>
  <c r="G82" i="2"/>
  <c r="E82" i="2"/>
  <c r="D82" i="2"/>
  <c r="H82" i="2" s="1"/>
  <c r="G81" i="2"/>
  <c r="D81" i="2"/>
  <c r="G80" i="2"/>
  <c r="E80" i="2"/>
  <c r="D80" i="2"/>
  <c r="H80" i="2" s="1"/>
  <c r="G79" i="2"/>
  <c r="D79" i="2"/>
  <c r="G78" i="2"/>
  <c r="D78" i="2"/>
  <c r="H78" i="2" s="1"/>
  <c r="H77" i="2"/>
  <c r="G77" i="2"/>
  <c r="D77" i="2"/>
  <c r="E77" i="2" s="1"/>
  <c r="G76" i="2"/>
  <c r="D76" i="2"/>
  <c r="H76" i="2" s="1"/>
  <c r="H75" i="2"/>
  <c r="G75" i="2"/>
  <c r="F75" i="2"/>
  <c r="J75" i="2" s="1"/>
  <c r="E75" i="2"/>
  <c r="I75" i="2" s="1"/>
  <c r="D75" i="2"/>
  <c r="G74" i="2"/>
  <c r="E74" i="2"/>
  <c r="D74" i="2"/>
  <c r="H74" i="2" s="1"/>
  <c r="G73" i="2"/>
  <c r="D73" i="2"/>
  <c r="G72" i="2"/>
  <c r="E72" i="2"/>
  <c r="D72" i="2"/>
  <c r="H72" i="2" s="1"/>
  <c r="G71" i="2"/>
  <c r="D71" i="2"/>
  <c r="H70" i="2"/>
  <c r="G70" i="2"/>
  <c r="D70" i="2"/>
  <c r="E70" i="2" s="1"/>
  <c r="F70" i="2" s="1"/>
  <c r="J70" i="2" s="1"/>
  <c r="H69" i="2"/>
  <c r="G69" i="2"/>
  <c r="D69" i="2"/>
  <c r="E69" i="2" s="1"/>
  <c r="I68" i="2"/>
  <c r="H68" i="2"/>
  <c r="G68" i="2"/>
  <c r="F68" i="2"/>
  <c r="J68" i="2" s="1"/>
  <c r="E68" i="2"/>
  <c r="D68" i="2"/>
  <c r="H67" i="2"/>
  <c r="G67" i="2"/>
  <c r="F67" i="2"/>
  <c r="J67" i="2" s="1"/>
  <c r="E67" i="2"/>
  <c r="I67" i="2" s="1"/>
  <c r="D67" i="2"/>
  <c r="G66" i="2"/>
  <c r="E66" i="2"/>
  <c r="D66" i="2"/>
  <c r="H66" i="2" s="1"/>
  <c r="G65" i="2"/>
  <c r="D65" i="2"/>
  <c r="G64" i="2"/>
  <c r="E64" i="2"/>
  <c r="D64" i="2"/>
  <c r="H64" i="2" s="1"/>
  <c r="G63" i="2"/>
  <c r="D63" i="2"/>
  <c r="G62" i="2"/>
  <c r="D62" i="2"/>
  <c r="E62" i="2" s="1"/>
  <c r="F62" i="2" s="1"/>
  <c r="J62" i="2" s="1"/>
  <c r="G61" i="2"/>
  <c r="D61" i="2"/>
  <c r="E61" i="2" s="1"/>
  <c r="H60" i="2"/>
  <c r="G60" i="2"/>
  <c r="D60" i="2"/>
  <c r="E60" i="2" s="1"/>
  <c r="H59" i="2"/>
  <c r="G59" i="2"/>
  <c r="F59" i="2"/>
  <c r="J59" i="2" s="1"/>
  <c r="E59" i="2"/>
  <c r="I59" i="2" s="1"/>
  <c r="D59" i="2"/>
  <c r="G58" i="2"/>
  <c r="E58" i="2"/>
  <c r="D58" i="2"/>
  <c r="H58" i="2" s="1"/>
  <c r="G57" i="2"/>
  <c r="D57" i="2"/>
  <c r="G56" i="2"/>
  <c r="E56" i="2"/>
  <c r="D56" i="2"/>
  <c r="H56" i="2" s="1"/>
  <c r="G55" i="2"/>
  <c r="D55" i="2"/>
  <c r="H54" i="2"/>
  <c r="G54" i="2"/>
  <c r="D54" i="2"/>
  <c r="E54" i="2" s="1"/>
  <c r="F54" i="2" s="1"/>
  <c r="J54" i="2" s="1"/>
  <c r="H53" i="2"/>
  <c r="G53" i="2"/>
  <c r="D53" i="2"/>
  <c r="E53" i="2" s="1"/>
  <c r="I52" i="2"/>
  <c r="H52" i="2"/>
  <c r="G52" i="2"/>
  <c r="F52" i="2"/>
  <c r="J52" i="2" s="1"/>
  <c r="E52" i="2"/>
  <c r="D52" i="2"/>
  <c r="H51" i="2"/>
  <c r="G51" i="2"/>
  <c r="E51" i="2"/>
  <c r="I51" i="2" s="1"/>
  <c r="D51" i="2"/>
  <c r="G50" i="2"/>
  <c r="D50" i="2"/>
  <c r="H50" i="2" s="1"/>
  <c r="G49" i="2"/>
  <c r="D49" i="2"/>
  <c r="G48" i="2"/>
  <c r="D48" i="2"/>
  <c r="H48" i="2" s="1"/>
  <c r="G47" i="2"/>
  <c r="D47" i="2"/>
  <c r="G46" i="2"/>
  <c r="D46" i="2"/>
  <c r="E46" i="2" s="1"/>
  <c r="F46" i="2" s="1"/>
  <c r="J46" i="2" s="1"/>
  <c r="G45" i="2"/>
  <c r="D45" i="2"/>
  <c r="E45" i="2" s="1"/>
  <c r="G44" i="2"/>
  <c r="F44" i="2"/>
  <c r="J44" i="2" s="1"/>
  <c r="E44" i="2"/>
  <c r="I44" i="2" s="1"/>
  <c r="D44" i="2"/>
  <c r="H44" i="2" s="1"/>
  <c r="H43" i="2"/>
  <c r="G43" i="2"/>
  <c r="E43" i="2"/>
  <c r="I43" i="2" s="1"/>
  <c r="D43" i="2"/>
  <c r="G42" i="2"/>
  <c r="E42" i="2"/>
  <c r="D42" i="2"/>
  <c r="H42" i="2" s="1"/>
  <c r="G41" i="2"/>
  <c r="D41" i="2"/>
  <c r="G40" i="2"/>
  <c r="E40" i="2"/>
  <c r="I40" i="2" s="1"/>
  <c r="D40" i="2"/>
  <c r="H40" i="2" s="1"/>
  <c r="G39" i="2"/>
  <c r="E39" i="2"/>
  <c r="F39" i="2" s="1"/>
  <c r="J39" i="2" s="1"/>
  <c r="D39" i="2"/>
  <c r="H39" i="2" s="1"/>
  <c r="G38" i="2"/>
  <c r="D38" i="2"/>
  <c r="E38" i="2" s="1"/>
  <c r="F38" i="2" s="1"/>
  <c r="J38" i="2" s="1"/>
  <c r="H37" i="2"/>
  <c r="G37" i="2"/>
  <c r="D37" i="2"/>
  <c r="E37" i="2" s="1"/>
  <c r="J36" i="2"/>
  <c r="I36" i="2"/>
  <c r="H36" i="2"/>
  <c r="G36" i="2"/>
  <c r="F36" i="2"/>
  <c r="E36" i="2"/>
  <c r="D36" i="2"/>
  <c r="H35" i="2"/>
  <c r="G35" i="2"/>
  <c r="E35" i="2"/>
  <c r="I35" i="2" s="1"/>
  <c r="D35" i="2"/>
  <c r="H34" i="2"/>
  <c r="G34" i="2"/>
  <c r="E34" i="2"/>
  <c r="D34" i="2"/>
  <c r="G33" i="2"/>
  <c r="D33" i="2"/>
  <c r="G32" i="2"/>
  <c r="D32" i="2"/>
  <c r="H32" i="2" s="1"/>
  <c r="G31" i="2"/>
  <c r="D31" i="2"/>
  <c r="H31" i="2" s="1"/>
  <c r="J30" i="2"/>
  <c r="G30" i="2"/>
  <c r="D30" i="2"/>
  <c r="E30" i="2" s="1"/>
  <c r="F30" i="2" s="1"/>
  <c r="G29" i="2"/>
  <c r="D29" i="2"/>
  <c r="E29" i="2" s="1"/>
  <c r="F29" i="2" s="1"/>
  <c r="J29" i="2" s="1"/>
  <c r="H28" i="2"/>
  <c r="G28" i="2"/>
  <c r="D28" i="2"/>
  <c r="E28" i="2" s="1"/>
  <c r="I27" i="2"/>
  <c r="H27" i="2"/>
  <c r="G27" i="2"/>
  <c r="E27" i="2"/>
  <c r="F27" i="2" s="1"/>
  <c r="J27" i="2" s="1"/>
  <c r="D27" i="2"/>
  <c r="H26" i="2"/>
  <c r="G26" i="2"/>
  <c r="D26" i="2"/>
  <c r="E26" i="2" s="1"/>
  <c r="G25" i="2"/>
  <c r="D25" i="2"/>
  <c r="H25" i="2" s="1"/>
  <c r="G24" i="2"/>
  <c r="E24" i="2"/>
  <c r="I24" i="2" s="1"/>
  <c r="D24" i="2"/>
  <c r="H24" i="2" s="1"/>
  <c r="J23" i="2"/>
  <c r="I23" i="2"/>
  <c r="H23" i="2"/>
  <c r="G23" i="2"/>
  <c r="E23" i="2"/>
  <c r="F23" i="2" s="1"/>
  <c r="D23" i="2"/>
  <c r="H22" i="2"/>
  <c r="G22" i="2"/>
  <c r="D22" i="2"/>
  <c r="E22" i="2" s="1"/>
  <c r="F22" i="2" s="1"/>
  <c r="J22" i="2" s="1"/>
  <c r="H21" i="2"/>
  <c r="G21" i="2"/>
  <c r="D21" i="2"/>
  <c r="E21" i="2" s="1"/>
  <c r="I21" i="2" s="1"/>
  <c r="I20" i="2"/>
  <c r="H20" i="2"/>
  <c r="G20" i="2"/>
  <c r="E20" i="2"/>
  <c r="F20" i="2" s="1"/>
  <c r="J20" i="2" s="1"/>
  <c r="D20" i="2"/>
  <c r="G19" i="2"/>
  <c r="D19" i="2"/>
  <c r="H19" i="2" s="1"/>
  <c r="G18" i="2"/>
  <c r="D18" i="2"/>
  <c r="E18" i="2" s="1"/>
  <c r="G17" i="2"/>
  <c r="D17" i="2"/>
  <c r="H17" i="2" s="1"/>
  <c r="G16" i="2"/>
  <c r="D16" i="2"/>
  <c r="H16" i="2" s="1"/>
  <c r="G15" i="2"/>
  <c r="D15" i="2"/>
  <c r="H15" i="2" s="1"/>
  <c r="G14" i="2"/>
  <c r="D14" i="2"/>
  <c r="H14" i="2" s="1"/>
  <c r="I13" i="2"/>
  <c r="H13" i="2"/>
  <c r="G13" i="2"/>
  <c r="E13" i="2"/>
  <c r="F13" i="2" s="1"/>
  <c r="J13" i="2" s="1"/>
  <c r="D13" i="2"/>
  <c r="H12" i="2"/>
  <c r="G12" i="2"/>
  <c r="D12" i="2"/>
  <c r="E12" i="2" s="1"/>
  <c r="I11" i="2"/>
  <c r="H11" i="2"/>
  <c r="G11" i="2"/>
  <c r="E11" i="2"/>
  <c r="F11" i="2" s="1"/>
  <c r="J11" i="2" s="1"/>
  <c r="D11" i="2"/>
  <c r="H10" i="2"/>
  <c r="G10" i="2"/>
  <c r="D10" i="2"/>
  <c r="E10" i="2" s="1"/>
  <c r="G9" i="2"/>
  <c r="F9" i="2"/>
  <c r="J9" i="2" s="1"/>
  <c r="E9" i="2"/>
  <c r="I9" i="2" s="1"/>
  <c r="D9" i="2"/>
  <c r="H9" i="2" s="1"/>
  <c r="G8" i="2"/>
  <c r="E8" i="2"/>
  <c r="I8" i="2" s="1"/>
  <c r="D8" i="2"/>
  <c r="H8" i="2" s="1"/>
  <c r="G7" i="2"/>
  <c r="D7" i="2"/>
  <c r="H7" i="2" s="1"/>
  <c r="G6" i="2"/>
  <c r="D6" i="2"/>
  <c r="H6" i="2" s="1"/>
  <c r="G5" i="2"/>
  <c r="D5" i="2"/>
  <c r="H5" i="2" s="1"/>
  <c r="H4" i="2"/>
  <c r="G4" i="2"/>
  <c r="D4" i="2"/>
  <c r="E4" i="2" s="1"/>
  <c r="H3" i="2"/>
  <c r="E3" i="2"/>
  <c r="F3" i="2" s="1"/>
  <c r="D3" i="2"/>
  <c r="E2" i="2"/>
  <c r="F2" i="2" s="1"/>
  <c r="D2" i="2"/>
  <c r="E92" i="2" l="1"/>
  <c r="E76" i="2"/>
  <c r="H62" i="2"/>
  <c r="H61" i="2"/>
  <c r="F60" i="2"/>
  <c r="J60" i="2" s="1"/>
  <c r="I60" i="2"/>
  <c r="E48" i="2"/>
  <c r="H46" i="2"/>
  <c r="I46" i="2"/>
  <c r="H45" i="2"/>
  <c r="E5" i="2"/>
  <c r="E19" i="2"/>
  <c r="H18" i="2"/>
  <c r="E17" i="2"/>
  <c r="E16" i="2"/>
  <c r="I16" i="2" s="1"/>
  <c r="E32" i="2"/>
  <c r="H30" i="2"/>
  <c r="I30" i="2"/>
  <c r="H29" i="2"/>
  <c r="F28" i="2"/>
  <c r="J28" i="2" s="1"/>
  <c r="I28" i="2"/>
  <c r="F4" i="2"/>
  <c r="J4" i="2" s="1"/>
  <c r="I4" i="2"/>
  <c r="F10" i="2"/>
  <c r="J10" i="2" s="1"/>
  <c r="I10" i="2"/>
  <c r="I26" i="2"/>
  <c r="F26" i="2"/>
  <c r="J26" i="2" s="1"/>
  <c r="F12" i="2"/>
  <c r="J12" i="2" s="1"/>
  <c r="I12" i="2"/>
  <c r="F18" i="2"/>
  <c r="J18" i="2" s="1"/>
  <c r="I18" i="2"/>
  <c r="E15" i="2"/>
  <c r="E25" i="2"/>
  <c r="H79" i="2"/>
  <c r="E79" i="2"/>
  <c r="H95" i="2"/>
  <c r="E95" i="2"/>
  <c r="E6" i="2"/>
  <c r="E14" i="2"/>
  <c r="F21" i="2"/>
  <c r="J21" i="2" s="1"/>
  <c r="I22" i="2"/>
  <c r="I29" i="2"/>
  <c r="E31" i="2"/>
  <c r="I39" i="2"/>
  <c r="F45" i="2"/>
  <c r="J45" i="2" s="1"/>
  <c r="I45" i="2"/>
  <c r="H47" i="2"/>
  <c r="E47" i="2"/>
  <c r="H49" i="2"/>
  <c r="E49" i="2"/>
  <c r="F51" i="2"/>
  <c r="J51" i="2" s="1"/>
  <c r="I54" i="2"/>
  <c r="H65" i="2"/>
  <c r="E65" i="2"/>
  <c r="I70" i="2"/>
  <c r="F77" i="2"/>
  <c r="J77" i="2" s="1"/>
  <c r="I77" i="2"/>
  <c r="F91" i="2"/>
  <c r="J91" i="2" s="1"/>
  <c r="F93" i="2"/>
  <c r="J93" i="2" s="1"/>
  <c r="I93" i="2"/>
  <c r="I56" i="2"/>
  <c r="F56" i="2"/>
  <c r="J56" i="2" s="1"/>
  <c r="I64" i="2"/>
  <c r="F64" i="2"/>
  <c r="J64" i="2" s="1"/>
  <c r="E7" i="2"/>
  <c r="F8" i="2"/>
  <c r="J8" i="2" s="1"/>
  <c r="H41" i="2"/>
  <c r="E41" i="2"/>
  <c r="F43" i="2"/>
  <c r="J43" i="2" s="1"/>
  <c r="H73" i="2"/>
  <c r="E73" i="2"/>
  <c r="I88" i="2"/>
  <c r="F88" i="2"/>
  <c r="J88" i="2" s="1"/>
  <c r="H33" i="2"/>
  <c r="E33" i="2"/>
  <c r="F53" i="2"/>
  <c r="J53" i="2" s="1"/>
  <c r="I53" i="2"/>
  <c r="H55" i="2"/>
  <c r="E55" i="2"/>
  <c r="H57" i="2"/>
  <c r="E57" i="2"/>
  <c r="I62" i="2"/>
  <c r="F69" i="2"/>
  <c r="J69" i="2" s="1"/>
  <c r="I69" i="2"/>
  <c r="H71" i="2"/>
  <c r="E71" i="2"/>
  <c r="I82" i="2"/>
  <c r="F82" i="2"/>
  <c r="J82" i="2" s="1"/>
  <c r="H89" i="2"/>
  <c r="E89" i="2"/>
  <c r="F24" i="2"/>
  <c r="J24" i="2" s="1"/>
  <c r="F35" i="2"/>
  <c r="J35" i="2" s="1"/>
  <c r="F61" i="2"/>
  <c r="J61" i="2" s="1"/>
  <c r="I61" i="2"/>
  <c r="H63" i="2"/>
  <c r="E63" i="2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H38" i="2"/>
  <c r="I42" i="2"/>
  <c r="F42" i="2"/>
  <c r="J42" i="2" s="1"/>
  <c r="I74" i="2"/>
  <c r="F74" i="2"/>
  <c r="J74" i="2" s="1"/>
  <c r="I80" i="2"/>
  <c r="F80" i="2"/>
  <c r="J80" i="2" s="1"/>
  <c r="H87" i="2"/>
  <c r="E87" i="2"/>
  <c r="I96" i="2"/>
  <c r="F96" i="2"/>
  <c r="J96" i="2" s="1"/>
  <c r="I38" i="2"/>
  <c r="F40" i="2"/>
  <c r="J40" i="2" s="1"/>
  <c r="E50" i="2"/>
  <c r="I66" i="2"/>
  <c r="F66" i="2"/>
  <c r="J66" i="2" s="1"/>
  <c r="F83" i="2"/>
  <c r="J83" i="2" s="1"/>
  <c r="F85" i="2"/>
  <c r="J85" i="2" s="1"/>
  <c r="I85" i="2"/>
  <c r="I34" i="2"/>
  <c r="F34" i="2"/>
  <c r="J34" i="2" s="1"/>
  <c r="F37" i="2"/>
  <c r="J37" i="2" s="1"/>
  <c r="I37" i="2"/>
  <c r="I48" i="2"/>
  <c r="F48" i="2"/>
  <c r="J48" i="2" s="1"/>
  <c r="I58" i="2"/>
  <c r="F58" i="2"/>
  <c r="J58" i="2" s="1"/>
  <c r="I72" i="2"/>
  <c r="F72" i="2"/>
  <c r="J72" i="2" s="1"/>
  <c r="H81" i="2"/>
  <c r="E81" i="2"/>
  <c r="I90" i="2"/>
  <c r="F90" i="2"/>
  <c r="J90" i="2" s="1"/>
  <c r="E98" i="2"/>
  <c r="E97" i="2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E78" i="2"/>
  <c r="E86" i="2"/>
  <c r="E94" i="2"/>
  <c r="F92" i="2" l="1"/>
  <c r="J92" i="2" s="1"/>
  <c r="I92" i="2"/>
  <c r="I76" i="2"/>
  <c r="F76" i="2"/>
  <c r="J76" i="2" s="1"/>
  <c r="F5" i="2"/>
  <c r="J5" i="2" s="1"/>
  <c r="I5" i="2"/>
  <c r="F19" i="2"/>
  <c r="J19" i="2" s="1"/>
  <c r="I19" i="2"/>
  <c r="I17" i="2"/>
  <c r="F17" i="2"/>
  <c r="J17" i="2" s="1"/>
  <c r="F16" i="2"/>
  <c r="J16" i="2" s="1"/>
  <c r="I32" i="2"/>
  <c r="F32" i="2"/>
  <c r="J32" i="2" s="1"/>
  <c r="I87" i="2"/>
  <c r="F87" i="2"/>
  <c r="J87" i="2" s="1"/>
  <c r="I33" i="2"/>
  <c r="F33" i="2"/>
  <c r="J33" i="2" s="1"/>
  <c r="I89" i="2"/>
  <c r="F89" i="2"/>
  <c r="J89" i="2" s="1"/>
  <c r="F31" i="2"/>
  <c r="J31" i="2" s="1"/>
  <c r="I31" i="2"/>
  <c r="I79" i="2"/>
  <c r="F79" i="2"/>
  <c r="J79" i="2" s="1"/>
  <c r="I41" i="2"/>
  <c r="F41" i="2"/>
  <c r="J41" i="2" s="1"/>
  <c r="F94" i="2"/>
  <c r="J94" i="2" s="1"/>
  <c r="I94" i="2"/>
  <c r="I81" i="2"/>
  <c r="F81" i="2"/>
  <c r="J81" i="2" s="1"/>
  <c r="I57" i="2"/>
  <c r="F57" i="2"/>
  <c r="J57" i="2" s="1"/>
  <c r="I49" i="2"/>
  <c r="F49" i="2"/>
  <c r="J49" i="2" s="1"/>
  <c r="F86" i="2"/>
  <c r="J86" i="2" s="1"/>
  <c r="I86" i="2"/>
  <c r="I50" i="2"/>
  <c r="F50" i="2"/>
  <c r="J50" i="2" s="1"/>
  <c r="I63" i="2"/>
  <c r="F63" i="2"/>
  <c r="J63" i="2" s="1"/>
  <c r="I7" i="2"/>
  <c r="F7" i="2"/>
  <c r="J7" i="2" s="1"/>
  <c r="I25" i="2"/>
  <c r="F25" i="2"/>
  <c r="J25" i="2" s="1"/>
  <c r="I98" i="2"/>
  <c r="F98" i="2"/>
  <c r="J98" i="2" s="1"/>
  <c r="F78" i="2"/>
  <c r="J78" i="2" s="1"/>
  <c r="I78" i="2"/>
  <c r="F55" i="2"/>
  <c r="J55" i="2" s="1"/>
  <c r="I55" i="2"/>
  <c r="I73" i="2"/>
  <c r="F73" i="2"/>
  <c r="J73" i="2" s="1"/>
  <c r="F47" i="2"/>
  <c r="J47" i="2" s="1"/>
  <c r="I47" i="2"/>
  <c r="I15" i="2"/>
  <c r="F15" i="2"/>
  <c r="J15" i="2" s="1"/>
  <c r="I71" i="2"/>
  <c r="F71" i="2"/>
  <c r="J71" i="2" s="1"/>
  <c r="I14" i="2"/>
  <c r="F14" i="2"/>
  <c r="J14" i="2" s="1"/>
  <c r="I95" i="2"/>
  <c r="F95" i="2"/>
  <c r="J95" i="2" s="1"/>
  <c r="I97" i="2"/>
  <c r="F97" i="2"/>
  <c r="J97" i="2" s="1"/>
  <c r="I65" i="2"/>
  <c r="F65" i="2"/>
  <c r="J65" i="2" s="1"/>
  <c r="I6" i="2"/>
  <c r="F6" i="2"/>
  <c r="J6" i="2" s="1"/>
</calcChain>
</file>

<file path=xl/sharedStrings.xml><?xml version="1.0" encoding="utf-8"?>
<sst xmlns="http://schemas.openxmlformats.org/spreadsheetml/2006/main" count="2385" uniqueCount="2065">
  <si>
    <t>229EBC1 - RAM offset for COs for CO Info screen</t>
  </si>
  <si>
    <t>2350510 - temp unit pointer for unit production list?</t>
  </si>
  <si>
    <t>Unit Order:</t>
  </si>
  <si>
    <t>Dual strike effectiveness icons:</t>
  </si>
  <si>
    <t>229024E - Campaign flags - 02/captured Black boat city, 40/captured Black boat Lab, 04/snow tutorial city captured, 20/Black bomb lab captured, 08/Piperunner city captured, 01/Piperunner lab captured</t>
  </si>
  <si>
    <t>0x01 Infantry</t>
  </si>
  <si>
    <t>Unit icons:</t>
  </si>
  <si>
    <t>Times CO has been used in Campaign (file 1): 2290232</t>
  </si>
  <si>
    <t>0x02 Mech</t>
  </si>
  <si>
    <t>00 - Infantry</t>
  </si>
  <si>
    <t>0x03 Medium Tank</t>
  </si>
  <si>
    <t>01 - Veh[icle]</t>
  </si>
  <si>
    <t>0x04 Megatank</t>
  </si>
  <si>
    <t>02 - Copter</t>
  </si>
  <si>
    <t>00 - display command</t>
  </si>
  <si>
    <t>0x05 Tank</t>
  </si>
  <si>
    <t>03 - Plane</t>
  </si>
  <si>
    <t>01 - display command (grayed)</t>
  </si>
  <si>
    <t>0x06 Recon</t>
  </si>
  <si>
    <t>04 - Ship</t>
  </si>
  <si>
    <t>02 - do not display</t>
  </si>
  <si>
    <t>0x07 APC</t>
  </si>
  <si>
    <t>05 - Sub</t>
  </si>
  <si>
    <t>0x08 Neotank</t>
  </si>
  <si>
    <t>06 - [Separator, used to dictate start of next row]</t>
  </si>
  <si>
    <t>21850F0 - terrain map with terrain IDs for current map.</t>
  </si>
  <si>
    <t>0x09 Piperunner</t>
  </si>
  <si>
    <t>07 - [Null]</t>
  </si>
  <si>
    <t>0x0A Artillery</t>
  </si>
  <si>
    <t>---</t>
  </si>
  <si>
    <t>0x0B Rocket</t>
  </si>
  <si>
    <t>Colors:</t>
  </si>
  <si>
    <t>0x0C Stealth</t>
  </si>
  <si>
    <t>00 - Red circle</t>
  </si>
  <si>
    <t>0x0D Blackbomb</t>
  </si>
  <si>
    <t>01 - Red triangle</t>
  </si>
  <si>
    <t>0x0E Anti-Air</t>
  </si>
  <si>
    <t>02 - Blue circle</t>
  </si>
  <si>
    <t>0x0F Missile</t>
  </si>
  <si>
    <t>03 - Blue triangle</t>
  </si>
  <si>
    <t>0x10 Fighter</t>
  </si>
  <si>
    <t>04 - Green circle</t>
  </si>
  <si>
    <t>0x1D - Allied power</t>
  </si>
  <si>
    <t>0x11 Bomber</t>
  </si>
  <si>
    <t>05 - Green triangle</t>
  </si>
  <si>
    <t>0x1C - Black Hole power</t>
  </si>
  <si>
    <t>0x12 Black Boat</t>
  </si>
  <si>
    <t>06 - [some icons mashed together without background]</t>
  </si>
  <si>
    <t>0x1F - Black Hole Super</t>
  </si>
  <si>
    <t>0x13 B Copter</t>
  </si>
  <si>
    <t>07 - No background</t>
  </si>
  <si>
    <t>0x20 - Allied Super</t>
  </si>
  <si>
    <t>0x14 T Copter</t>
  </si>
  <si>
    <t>08+ - (mashes together unit names instead)</t>
  </si>
  <si>
    <t>0x15 B Ship</t>
  </si>
  <si>
    <t>0x16 Cruiser</t>
  </si>
  <si>
    <t>0x00 - null</t>
  </si>
  <si>
    <t>unit class</t>
  </si>
  <si>
    <t>range</t>
  </si>
  <si>
    <t>0x17 Lander</t>
  </si>
  <si>
    <t>0x01 - Plain</t>
  </si>
  <si>
    <t>0x0</t>
  </si>
  <si>
    <t>direct</t>
  </si>
  <si>
    <t>0x18 Sub</t>
  </si>
  <si>
    <t>0x02 - River</t>
  </si>
  <si>
    <t>0x1</t>
  </si>
  <si>
    <t>indirect</t>
  </si>
  <si>
    <t>0x19 Carrier</t>
  </si>
  <si>
    <t>0x03 - mountain</t>
  </si>
  <si>
    <t>0x2</t>
  </si>
  <si>
    <t>transport</t>
  </si>
  <si>
    <t>0x1A Oozium</t>
  </si>
  <si>
    <t>0x04 - woods</t>
  </si>
  <si>
    <t>0x3</t>
  </si>
  <si>
    <t>black bomb</t>
  </si>
  <si>
    <t>0x05 - road</t>
  </si>
  <si>
    <t>0x4</t>
  </si>
  <si>
    <t>oozium</t>
  </si>
  <si>
    <t>0x06 - city</t>
  </si>
  <si>
    <t>0x07 - sea</t>
  </si>
  <si>
    <t>0x08 - hq</t>
  </si>
  <si>
    <t>0x09 - "lake"</t>
  </si>
  <si>
    <t>0x0A - airport</t>
  </si>
  <si>
    <t>0x0B - port</t>
  </si>
  <si>
    <t>0x0C - bridge (r)</t>
  </si>
  <si>
    <t>0x0D - beach</t>
  </si>
  <si>
    <t>0x0E - factory</t>
  </si>
  <si>
    <t>0x0F - pipe</t>
  </si>
  <si>
    <t>0x10 - pipe seam</t>
  </si>
  <si>
    <t>0x11 - silo</t>
  </si>
  <si>
    <t>0x12 - silo (launched)</t>
  </si>
  <si>
    <t>0x13 - reef</t>
  </si>
  <si>
    <t>0x14 - lab</t>
  </si>
  <si>
    <t>0x15 - mini-cannon</t>
  </si>
  <si>
    <t>0x16 - com tower</t>
  </si>
  <si>
    <t>0x17 - crystal</t>
  </si>
  <si>
    <t>0x18 - g-bolt (core)</t>
  </si>
  <si>
    <t>0x19 - laser</t>
  </si>
  <si>
    <t>0x1A - cannon</t>
  </si>
  <si>
    <t>0x1B - g-bolt (icky weapon)</t>
  </si>
  <si>
    <t>0x1C - volcano</t>
  </si>
  <si>
    <t>0x1D - obelisk</t>
  </si>
  <si>
    <t>0x1E - deathray</t>
  </si>
  <si>
    <t>0x1F - Off-limits</t>
  </si>
  <si>
    <t>offset</t>
  </si>
  <si>
    <t>description</t>
  </si>
  <si>
    <t>Faction 1</t>
  </si>
  <si>
    <t>Faction 2</t>
  </si>
  <si>
    <t>Faction 3</t>
  </si>
  <si>
    <t>Faction 4</t>
  </si>
  <si>
    <t>Faction 1 (top)</t>
  </si>
  <si>
    <t>Faction 2 (top)</t>
  </si>
  <si>
    <t>Faction 3 (top)</t>
  </si>
  <si>
    <t>Faction 4 (top)</t>
  </si>
  <si>
    <t>(0x00)</t>
  </si>
  <si>
    <t>218F4D0</t>
  </si>
  <si>
    <t>218F568</t>
  </si>
  <si>
    <t>218F4D2</t>
  </si>
  <si>
    <t>218F4D3</t>
  </si>
  <si>
    <t>(0x04)</t>
  </si>
  <si>
    <t>218F4D4</t>
  </si>
  <si>
    <t>218F4D6</t>
  </si>
  <si>
    <t>218F4D7</t>
  </si>
  <si>
    <t>(0x08)</t>
  </si>
  <si>
    <t>(0x0C)</t>
  </si>
  <si>
    <t>damage in funds</t>
  </si>
  <si>
    <t>(0x10)</t>
  </si>
  <si>
    <t>Bases Owned</t>
  </si>
  <si>
    <t>(0x11)</t>
  </si>
  <si>
    <t>Cities Owned</t>
  </si>
  <si>
    <t>(0x12)</t>
  </si>
  <si>
    <t>Airports Owned</t>
  </si>
  <si>
    <t>(0x13)</t>
  </si>
  <si>
    <t>Ports Owned</t>
  </si>
  <si>
    <t>(0x14)</t>
  </si>
  <si>
    <t>Towers Owned</t>
  </si>
  <si>
    <t>(0x15)</t>
  </si>
  <si>
    <t>Total Property Count</t>
  </si>
  <si>
    <t>(0x16)</t>
  </si>
  <si>
    <t>(0x17)</t>
  </si>
  <si>
    <t>Faction status 2</t>
  </si>
  <si>
    <t>(0x18)</t>
  </si>
  <si>
    <t>defeat related status?</t>
  </si>
  <si>
    <t>(0x19)</t>
  </si>
  <si>
    <t>Army Color</t>
  </si>
  <si>
    <t>(0x1A)</t>
  </si>
  <si>
    <t>(0x1B)</t>
  </si>
  <si>
    <t>(0x1C)</t>
  </si>
  <si>
    <t>Kills this Turn</t>
  </si>
  <si>
    <t>(0x1E)</t>
  </si>
  <si>
    <t>Highest Kills in a Turn</t>
  </si>
  <si>
    <t>(0x20)</t>
  </si>
  <si>
    <t>Black Cannons Destroyed</t>
  </si>
  <si>
    <t>(0x21)</t>
  </si>
  <si>
    <t>Minicannons Destroyed</t>
  </si>
  <si>
    <t>(0x22)</t>
  </si>
  <si>
    <t>Pipe Seams Destroyed</t>
  </si>
  <si>
    <t>(0x23)</t>
  </si>
  <si>
    <t>Oozium Destroyed</t>
  </si>
  <si>
    <t>(0x24)</t>
  </si>
  <si>
    <t>Black Crystals Destroyed</t>
  </si>
  <si>
    <t>(0x25)</t>
  </si>
  <si>
    <t>(0x26)</t>
  </si>
  <si>
    <t>Temporary Firepower Adjustment</t>
  </si>
  <si>
    <t>(0x28)</t>
  </si>
  <si>
    <t>Temporary Defence Adjustment</t>
  </si>
  <si>
    <t>(0x2A)</t>
  </si>
  <si>
    <t>Temporary Terrain Defence Adjustment</t>
  </si>
  <si>
    <t>(0x2B)</t>
  </si>
  <si>
    <t>Movement cost ID</t>
  </si>
  <si>
    <t>(0x2C)</t>
  </si>
  <si>
    <t>Alliance</t>
  </si>
  <si>
    <t>(0x2D)</t>
  </si>
  <si>
    <t>Unit/HQ Style</t>
  </si>
  <si>
    <t>(0x2E)</t>
  </si>
  <si>
    <t>AI (used by AI during CO power determination [208C984])</t>
  </si>
  <si>
    <t>(0x2F)</t>
  </si>
  <si>
    <t>HQ x-coordinate</t>
  </si>
  <si>
    <t>(0x30)</t>
  </si>
  <si>
    <t>HQ y-coordinate</t>
  </si>
  <si>
    <t>(0x31)</t>
  </si>
  <si>
    <t>Cursor X co-ordinate</t>
  </si>
  <si>
    <t>(0x32)</t>
  </si>
  <si>
    <t>Cursor Y co-ordinate</t>
  </si>
  <si>
    <t>(0x33)</t>
  </si>
  <si>
    <t>faction being defeated?</t>
  </si>
  <si>
    <t>(0x34)</t>
  </si>
  <si>
    <t>???</t>
  </si>
  <si>
    <t>(0x35)</t>
  </si>
  <si>
    <t>(0x36)</t>
  </si>
  <si>
    <t>No Unit Built</t>
  </si>
  <si>
    <t>(0x37)</t>
  </si>
  <si>
    <t>Infantry Built</t>
  </si>
  <si>
    <t>(0x38)</t>
  </si>
  <si>
    <t>Mechs Built</t>
  </si>
  <si>
    <t>(0x39)</t>
  </si>
  <si>
    <t>Medium Tanks Built</t>
  </si>
  <si>
    <t>(0x3A)</t>
  </si>
  <si>
    <t>Megatanks Built</t>
  </si>
  <si>
    <t>(0x3B)</t>
  </si>
  <si>
    <t>Tanks Built</t>
  </si>
  <si>
    <t>(0x3C)</t>
  </si>
  <si>
    <t>Recons Built</t>
  </si>
  <si>
    <t>(0x3D)</t>
  </si>
  <si>
    <t>APCs Built</t>
  </si>
  <si>
    <t>(0x3E)</t>
  </si>
  <si>
    <t>Neotanks Built</t>
  </si>
  <si>
    <t>(0x3F)</t>
  </si>
  <si>
    <t>Piperunners Built</t>
  </si>
  <si>
    <t>(0x40)</t>
  </si>
  <si>
    <t>Artillery Built</t>
  </si>
  <si>
    <t>(0x41)</t>
  </si>
  <si>
    <t>Rockets Built</t>
  </si>
  <si>
    <t>(0x42)</t>
  </si>
  <si>
    <t>Stealths Built</t>
  </si>
  <si>
    <t>(0x43)</t>
  </si>
  <si>
    <t>Black Bombs Built</t>
  </si>
  <si>
    <t>(0x44)</t>
  </si>
  <si>
    <t>Anti-Airs Built</t>
  </si>
  <si>
    <t>(0x45)</t>
  </si>
  <si>
    <t>Missiles Built</t>
  </si>
  <si>
    <t>(0x46)</t>
  </si>
  <si>
    <t>Fighters Built</t>
  </si>
  <si>
    <t>(0x47)</t>
  </si>
  <si>
    <t>Bombers Built</t>
  </si>
  <si>
    <t>(0x48)</t>
  </si>
  <si>
    <t>Black Boats Built</t>
  </si>
  <si>
    <t>(0x49)</t>
  </si>
  <si>
    <t>Battle Copters Built</t>
  </si>
  <si>
    <t>(0x4A)</t>
  </si>
  <si>
    <t>Transport Copters Built</t>
  </si>
  <si>
    <t>(0x4B)</t>
  </si>
  <si>
    <t>Battlships Built</t>
  </si>
  <si>
    <t>(0x4C)</t>
  </si>
  <si>
    <t>Cruisers Built</t>
  </si>
  <si>
    <t>(0x4D)</t>
  </si>
  <si>
    <t>Landers Built</t>
  </si>
  <si>
    <t>(0x4E)</t>
  </si>
  <si>
    <t>Subs Built</t>
  </si>
  <si>
    <t>(0x4F)</t>
  </si>
  <si>
    <t>Carriers Built</t>
  </si>
  <si>
    <t>(0x50)</t>
  </si>
  <si>
    <t>Oozium Built</t>
  </si>
  <si>
    <t>(0x51)</t>
  </si>
  <si>
    <t>No Unit Lost</t>
  </si>
  <si>
    <t>(0x52)</t>
  </si>
  <si>
    <t>Infantry Lost</t>
  </si>
  <si>
    <t>(0x53)</t>
  </si>
  <si>
    <t>Mechs Lost</t>
  </si>
  <si>
    <t>(0x54)</t>
  </si>
  <si>
    <t>Medium Tanks Lost</t>
  </si>
  <si>
    <t>(0x55)</t>
  </si>
  <si>
    <t>Megatanks Lost</t>
  </si>
  <si>
    <t>(0x56)</t>
  </si>
  <si>
    <t>Tanks Lost</t>
  </si>
  <si>
    <t>(0x57)</t>
  </si>
  <si>
    <t>Recons Lost</t>
  </si>
  <si>
    <t>(0x58)</t>
  </si>
  <si>
    <t>APCs Lost</t>
  </si>
  <si>
    <t>(0x59)</t>
  </si>
  <si>
    <t>Neotanks Lost</t>
  </si>
  <si>
    <t>(0x5A)</t>
  </si>
  <si>
    <t>Piperunners Lost</t>
  </si>
  <si>
    <t>(0x5B)</t>
  </si>
  <si>
    <t>Artillery Lost</t>
  </si>
  <si>
    <t>(0x5C)</t>
  </si>
  <si>
    <t>Rockets Lost</t>
  </si>
  <si>
    <t>(0x5D)</t>
  </si>
  <si>
    <t>Stealths Lost</t>
  </si>
  <si>
    <t>(0x5E)</t>
  </si>
  <si>
    <t>Black Bombs Lost</t>
  </si>
  <si>
    <t>(0x5F)</t>
  </si>
  <si>
    <t>Anti-Airs Lost</t>
  </si>
  <si>
    <t>(0x60)</t>
  </si>
  <si>
    <t>Missiles Lost</t>
  </si>
  <si>
    <t>(0x61)</t>
  </si>
  <si>
    <t>Fighters Lost</t>
  </si>
  <si>
    <t>(0x62)</t>
  </si>
  <si>
    <t>Bombers Lost</t>
  </si>
  <si>
    <t>(0x63)</t>
  </si>
  <si>
    <t>Black Boats Lost</t>
  </si>
  <si>
    <t>(0x64)</t>
  </si>
  <si>
    <t>Battle Copters Lost</t>
  </si>
  <si>
    <t>(0x65)</t>
  </si>
  <si>
    <t>Transport Copters Lost</t>
  </si>
  <si>
    <t>(0x66)</t>
  </si>
  <si>
    <t>Battlships Lost</t>
  </si>
  <si>
    <t>(0x67)</t>
  </si>
  <si>
    <t>Cruisers Lost</t>
  </si>
  <si>
    <t>(0x68)</t>
  </si>
  <si>
    <t>Landers Lost</t>
  </si>
  <si>
    <t>(0x69)</t>
  </si>
  <si>
    <t>Subs Lost</t>
  </si>
  <si>
    <t>(0x6A)</t>
  </si>
  <si>
    <t>Carriers Lost</t>
  </si>
  <si>
    <t>(0x6B)</t>
  </si>
  <si>
    <t>Oozium Lost</t>
  </si>
  <si>
    <t>(0x6C)</t>
  </si>
  <si>
    <t>(0x70)</t>
  </si>
  <si>
    <t>(0x74)</t>
  </si>
  <si>
    <t>(0x84)</t>
  </si>
  <si>
    <t>Back CO Skills and Force Ranks Equipped</t>
  </si>
  <si>
    <t>(0x94)</t>
  </si>
  <si>
    <t>CO Info screen</t>
  </si>
  <si>
    <t>front CO</t>
  </si>
  <si>
    <t>229EBC1</t>
  </si>
  <si>
    <t>229EBC3</t>
  </si>
  <si>
    <t>229EBC5</t>
  </si>
  <si>
    <t>229EBC7</t>
  </si>
  <si>
    <t>back/top-screen CO</t>
  </si>
  <si>
    <t>229EBC2</t>
  </si>
  <si>
    <t>229EBC4</t>
  </si>
  <si>
    <t>229EBC6</t>
  </si>
  <si>
    <t>229EBC8</t>
  </si>
  <si>
    <t>stars</t>
  </si>
  <si>
    <t>229EBCD</t>
  </si>
  <si>
    <t>229EBCE</t>
  </si>
  <si>
    <t>229EBCF</t>
  </si>
  <si>
    <t>number of factions</t>
  </si>
  <si>
    <t>229EBD0</t>
  </si>
  <si>
    <t>current faction selected</t>
  </si>
  <si>
    <t>229EBD1</t>
  </si>
  <si>
    <t>front/back CO selected</t>
  </si>
  <si>
    <t>229EBD2</t>
  </si>
  <si>
    <t>current page</t>
  </si>
  <si>
    <t>229EBD3</t>
  </si>
  <si>
    <t>ID</t>
  </si>
  <si>
    <t>faction 1</t>
  </si>
  <si>
    <t>faction 2</t>
  </si>
  <si>
    <t>faction 3</t>
  </si>
  <si>
    <t>faction 4</t>
  </si>
  <si>
    <t>faction 1-2</t>
  </si>
  <si>
    <t>faction 2-2</t>
  </si>
  <si>
    <t>unit 1</t>
  </si>
  <si>
    <t xml:space="preserve">218E642 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</si>
  <si>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</si>
  <si>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</si>
  <si>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</si>
  <si>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</si>
  <si>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</si>
  <si>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</si>
  <si>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</si>
  <si>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</si>
  <si>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</si>
  <si>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</si>
  <si>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</si>
  <si>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</si>
  <si>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</si>
  <si>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</si>
  <si>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</si>
  <si>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</si>
  <si>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unit 18</t>
  </si>
  <si>
    <t>unit 19</t>
  </si>
  <si>
    <t>unit 20</t>
  </si>
  <si>
    <t>unit 21</t>
  </si>
  <si>
    <t>unit 22</t>
  </si>
  <si>
    <t>unit 23</t>
  </si>
  <si>
    <t>unit 24</t>
  </si>
  <si>
    <t>unit 25</t>
  </si>
  <si>
    <t>unit 26</t>
  </si>
  <si>
    <t>unit 27</t>
  </si>
  <si>
    <t>unit 28</t>
  </si>
  <si>
    <t>unit 29</t>
  </si>
  <si>
    <t>unit 30</t>
  </si>
  <si>
    <t>unit 31</t>
  </si>
  <si>
    <t>unit 32</t>
  </si>
  <si>
    <t>unit 33</t>
  </si>
  <si>
    <t>unit 34</t>
  </si>
  <si>
    <t>unit 35</t>
  </si>
  <si>
    <t>unit 36</t>
  </si>
  <si>
    <t>unit 37</t>
  </si>
  <si>
    <t>unit 38</t>
  </si>
  <si>
    <t>unit 39</t>
  </si>
  <si>
    <t>unit 40</t>
  </si>
  <si>
    <t>unit 41</t>
  </si>
  <si>
    <t>unit 42</t>
  </si>
  <si>
    <t>unit 43</t>
  </si>
  <si>
    <t>unit 44</t>
  </si>
  <si>
    <t>unit 45</t>
  </si>
  <si>
    <t>unit 46</t>
  </si>
  <si>
    <t>unit 47</t>
  </si>
  <si>
    <t>unit 48</t>
  </si>
  <si>
    <t>unit 49</t>
  </si>
  <si>
    <t>unit 50</t>
  </si>
  <si>
    <t>unit 51</t>
  </si>
  <si>
    <t>unit 52</t>
  </si>
  <si>
    <t>unit 53</t>
  </si>
  <si>
    <t>unit 54</t>
  </si>
  <si>
    <t>unit 55</t>
  </si>
  <si>
    <t>unit 56</t>
  </si>
  <si>
    <t>unit 57</t>
  </si>
  <si>
    <t>unit 58</t>
  </si>
  <si>
    <t>unit 59</t>
  </si>
  <si>
    <t>unit 60</t>
  </si>
  <si>
    <t>unit 61</t>
  </si>
  <si>
    <t>unit 62</t>
  </si>
  <si>
    <t>unit 63</t>
  </si>
  <si>
    <t>2183C8C</t>
  </si>
  <si>
    <t>current map name</t>
  </si>
  <si>
    <t>2189E5C</t>
  </si>
  <si>
    <t>21850F0</t>
  </si>
  <si>
    <t>terrain ID map</t>
  </si>
  <si>
    <t>218B2C0</t>
  </si>
  <si>
    <t>2183CA6</t>
  </si>
  <si>
    <t>width</t>
  </si>
  <si>
    <t>`2189E76</t>
  </si>
  <si>
    <t>2183B40</t>
  </si>
  <si>
    <t>pointer to last selected unit</t>
  </si>
  <si>
    <t>`+1,ID</t>
  </si>
  <si>
    <t>2183CA8</t>
  </si>
  <si>
    <t>height</t>
  </si>
  <si>
    <t>`2189E78</t>
  </si>
  <si>
    <t>pointer to currently highlighted unit</t>
  </si>
  <si>
    <t>2183CC0</t>
  </si>
  <si>
    <t>second map ID</t>
  </si>
  <si>
    <t>2185B10</t>
  </si>
  <si>
    <t>vision?</t>
  </si>
  <si>
    <t>`21846E0</t>
  </si>
  <si>
    <t>terrain graphic map</t>
  </si>
  <si>
    <t>218A8B0</t>
  </si>
  <si>
    <t>2183B92</t>
  </si>
  <si>
    <t>normal vs. DS mode</t>
  </si>
  <si>
    <t>fac 1, unit 1</t>
  </si>
  <si>
    <t>2183B96</t>
  </si>
  <si>
    <t>faction 1 color</t>
  </si>
  <si>
    <t>fac 1, unit 1 top</t>
  </si>
  <si>
    <t>2183B97</t>
  </si>
  <si>
    <t>faction 2 color</t>
  </si>
  <si>
    <t>229EE13 - versus selection data</t>
  </si>
  <si>
    <t>2183B98</t>
  </si>
  <si>
    <t>faction 3 color</t>
  </si>
  <si>
    <t>1,2</t>
  </si>
  <si>
    <t>2183B99</t>
  </si>
  <si>
    <t>faction 4 color</t>
  </si>
  <si>
    <t>6x5</t>
  </si>
  <si>
    <t>2187f00</t>
  </si>
  <si>
    <t>2183BA1</t>
  </si>
  <si>
    <t>faction 1 CO 1</t>
  </si>
  <si>
    <t>22A7B88</t>
  </si>
  <si>
    <t>max survival parameter</t>
  </si>
  <si>
    <t>2290720 - mode-related save data</t>
  </si>
  <si>
    <t>x</t>
  </si>
  <si>
    <t>22A7B87</t>
  </si>
  <si>
    <t>current mode</t>
  </si>
  <si>
    <t>2189CF0 - current on-map mode 2nd</t>
  </si>
  <si>
    <t>01 - money</t>
  </si>
  <si>
    <t>`+3 for champion</t>
  </si>
  <si>
    <t>02 - turn</t>
  </si>
  <si>
    <t>00 - time</t>
  </si>
  <si>
    <t>21846E0 - graphics map</t>
  </si>
  <si>
    <t>238D800</t>
  </si>
  <si>
    <t>max number of maps</t>
  </si>
  <si>
    <t xml:space="preserve">27C3AC0 </t>
  </si>
  <si>
    <t>CO unlocks?</t>
  </si>
  <si>
    <t>terrain mini-box name</t>
  </si>
  <si>
    <t>0x01</t>
  </si>
  <si>
    <t>Display Unit Count</t>
  </si>
  <si>
    <t>218932A</t>
  </si>
  <si>
    <t>218932B</t>
  </si>
  <si>
    <t>218932C</t>
  </si>
  <si>
    <t>218932D</t>
  </si>
  <si>
    <t>218932E</t>
  </si>
  <si>
    <t>218932F</t>
  </si>
  <si>
    <t>218931A</t>
  </si>
  <si>
    <t>218931B</t>
  </si>
  <si>
    <t>218931C</t>
  </si>
  <si>
    <t>218931E</t>
  </si>
  <si>
    <t>218930C</t>
  </si>
  <si>
    <t>218933A</t>
  </si>
  <si>
    <t>218933B</t>
  </si>
  <si>
    <t>218933C</t>
  </si>
  <si>
    <t>218933D</t>
  </si>
  <si>
    <t>218933E</t>
  </si>
  <si>
    <t>218933F</t>
  </si>
  <si>
    <t>218934A</t>
  </si>
  <si>
    <t>218934B</t>
  </si>
  <si>
    <t>218934C</t>
  </si>
  <si>
    <t>218934D</t>
  </si>
  <si>
    <t>218934E</t>
  </si>
  <si>
    <t>218934F</t>
  </si>
  <si>
    <t>218935A</t>
  </si>
  <si>
    <t>218935B</t>
  </si>
  <si>
    <t>218935C</t>
  </si>
  <si>
    <t>218935D</t>
  </si>
  <si>
    <t>218935E</t>
  </si>
  <si>
    <t>218935F</t>
  </si>
  <si>
    <t>218936A</t>
  </si>
  <si>
    <t>218936B</t>
  </si>
  <si>
    <t>218936C</t>
  </si>
  <si>
    <t>Front CO Skills and Force Ranks Equipped</t>
  </si>
  <si>
    <t>0xE/unit</t>
  </si>
  <si>
    <t>+0x0</t>
  </si>
  <si>
    <t>unit ID</t>
  </si>
  <si>
    <t>+0x1</t>
  </si>
  <si>
    <t>status</t>
  </si>
  <si>
    <t>+0x2</t>
  </si>
  <si>
    <t>x-coordinate</t>
  </si>
  <si>
    <t>+03</t>
  </si>
  <si>
    <t>y-coordinate</t>
  </si>
  <si>
    <t>+0x4</t>
  </si>
  <si>
    <t>transporting ID</t>
  </si>
  <si>
    <t>+0x5</t>
  </si>
  <si>
    <t>transporting ID 2</t>
  </si>
  <si>
    <t>HP/ammo/capture</t>
  </si>
  <si>
    <t>fuel (max 0x7F)</t>
  </si>
  <si>
    <t>+0x8</t>
  </si>
  <si>
    <t>+0x6/0x7</t>
  </si>
  <si>
    <t>+0x9</t>
  </si>
  <si>
    <t>unused?</t>
  </si>
  <si>
    <t>+0xA/0xB</t>
  </si>
  <si>
    <t>AI-related flags</t>
  </si>
  <si>
    <t>+0xC</t>
  </si>
  <si>
    <t>AI, AI flags</t>
  </si>
  <si>
    <t>+0xD</t>
  </si>
  <si>
    <t>2183B08</t>
  </si>
  <si>
    <t>base game data address</t>
  </si>
  <si>
    <t>RAM address</t>
  </si>
  <si>
    <t>2183b08</t>
  </si>
  <si>
    <t>current faction</t>
  </si>
  <si>
    <t>2183b0a</t>
  </si>
  <si>
    <t>(+0x00)</t>
  </si>
  <si>
    <t>(+0x02)</t>
  </si>
  <si>
    <t>2183b0c</t>
  </si>
  <si>
    <t>(+0x04)</t>
  </si>
  <si>
    <t>current day</t>
  </si>
  <si>
    <t>current property alliance</t>
  </si>
  <si>
    <t>current starting global unit ID</t>
  </si>
  <si>
    <t>(+0x06)</t>
  </si>
  <si>
    <t>2183b0e</t>
  </si>
  <si>
    <t>2183b10</t>
  </si>
  <si>
    <t>2183b20</t>
  </si>
  <si>
    <t>current gameplay update ID</t>
  </si>
  <si>
    <t>2183b30</t>
  </si>
  <si>
    <t>currently selected unit pointer</t>
  </si>
  <si>
    <t>(+0x38)</t>
  </si>
  <si>
    <t>2183b24</t>
  </si>
  <si>
    <t>(+0x3C)</t>
  </si>
  <si>
    <t>currently selected unit global ID</t>
  </si>
  <si>
    <t>2183b60</t>
  </si>
  <si>
    <t>current gamemode</t>
  </si>
  <si>
    <t>2183b61</t>
  </si>
  <si>
    <t>current gamemode modifier (War Room)</t>
  </si>
  <si>
    <t>2183b64</t>
  </si>
  <si>
    <t>current match level flags</t>
  </si>
  <si>
    <t>2183b65</t>
  </si>
  <si>
    <t>current match level flags 2</t>
  </si>
  <si>
    <t>2183b66</t>
  </si>
  <si>
    <t>2183b67</t>
  </si>
  <si>
    <t>2183b80</t>
  </si>
  <si>
    <t>current match income/property</t>
  </si>
  <si>
    <t>2183b8a</t>
  </si>
  <si>
    <t>2183b8b</t>
  </si>
  <si>
    <t>2183b8c</t>
  </si>
  <si>
    <t>2183b8d</t>
  </si>
  <si>
    <t>2183b8f</t>
  </si>
  <si>
    <t>current animation ID</t>
  </si>
  <si>
    <t>current options flags</t>
  </si>
  <si>
    <t>vanilla description</t>
  </si>
  <si>
    <t>plus description</t>
  </si>
  <si>
    <t>music toggle on/off</t>
  </si>
  <si>
    <t>terrain mini-box toggle on/off</t>
  </si>
  <si>
    <t>other flags</t>
  </si>
  <si>
    <t>current match Send command type</t>
  </si>
  <si>
    <t>current match unit max, Send command flags</t>
  </si>
  <si>
    <t>map name data address</t>
  </si>
  <si>
    <t>2183c8c</t>
  </si>
  <si>
    <t>2183ca6</t>
  </si>
  <si>
    <t>current map x size</t>
  </si>
  <si>
    <t>current map y size</t>
  </si>
  <si>
    <t>2183ca8</t>
  </si>
  <si>
    <t>2183CCC</t>
  </si>
  <si>
    <t>pointer to map name data address</t>
  </si>
  <si>
    <t>2183cc3</t>
  </si>
  <si>
    <t>2183cc4</t>
  </si>
  <si>
    <t>fog of war toggle</t>
  </si>
  <si>
    <t>2183cc5</t>
  </si>
  <si>
    <t>current map tileset</t>
  </si>
  <si>
    <t>2183cc6</t>
  </si>
  <si>
    <t>current map weather</t>
  </si>
  <si>
    <t>map of terrain IDs</t>
  </si>
  <si>
    <t>2188464</t>
  </si>
  <si>
    <t>list of current match units</t>
  </si>
  <si>
    <t>2186510</t>
  </si>
  <si>
    <t>map for range display</t>
  </si>
  <si>
    <t>2186A10</t>
  </si>
  <si>
    <t>map of turns required to reach tile? (AI)</t>
  </si>
  <si>
    <t>2187E38</t>
  </si>
  <si>
    <t>table of tiles-per-row</t>
  </si>
  <si>
    <t>2183CD0</t>
  </si>
  <si>
    <t>map of unit IDs-per-tile</t>
  </si>
  <si>
    <t>2189CA8</t>
  </si>
  <si>
    <t>current battle simulation data</t>
  </si>
  <si>
    <t>236BBC0</t>
  </si>
  <si>
    <t>current battle animation data</t>
  </si>
  <si>
    <t>2187EEC</t>
  </si>
  <si>
    <t>map of HP-per-tile</t>
  </si>
  <si>
    <t>2187930</t>
  </si>
  <si>
    <t>area for foot soldier from transport reach tiles</t>
  </si>
  <si>
    <t>229E178</t>
  </si>
  <si>
    <t>current AI data</t>
  </si>
  <si>
    <t>229E1F0</t>
  </si>
  <si>
    <t>AI current unit queue</t>
  </si>
  <si>
    <t>216E5C3</t>
  </si>
  <si>
    <t>days remaining for current weather</t>
  </si>
  <si>
    <t>229E278</t>
  </si>
  <si>
    <t>AI current table of unit purchase desire values</t>
  </si>
  <si>
    <t>229EA4C</t>
  </si>
  <si>
    <t>AI current table of enemy unit HP sums</t>
  </si>
  <si>
    <t>229E5BC</t>
  </si>
  <si>
    <t>AI current list of unit production properties</t>
  </si>
  <si>
    <t>22A6B38</t>
  </si>
  <si>
    <t>current overall map update ID</t>
  </si>
  <si>
    <t>units</t>
  </si>
  <si>
    <t>Infantry</t>
  </si>
  <si>
    <t>0x02</t>
  </si>
  <si>
    <t>Mech</t>
  </si>
  <si>
    <t>0x03</t>
  </si>
  <si>
    <t>Medium Tank</t>
  </si>
  <si>
    <t>0x04</t>
  </si>
  <si>
    <t>Megatank</t>
  </si>
  <si>
    <t>0x05</t>
  </si>
  <si>
    <t>Tank</t>
  </si>
  <si>
    <t>0x06</t>
  </si>
  <si>
    <t>Recon</t>
  </si>
  <si>
    <t>0x07</t>
  </si>
  <si>
    <t>APC</t>
  </si>
  <si>
    <t>0x08</t>
  </si>
  <si>
    <t>Neotank</t>
  </si>
  <si>
    <t>0x09</t>
  </si>
  <si>
    <t>Piperunner</t>
  </si>
  <si>
    <t>0x0A</t>
  </si>
  <si>
    <t>Artillery</t>
  </si>
  <si>
    <t>0x0B</t>
  </si>
  <si>
    <t>Rocket</t>
  </si>
  <si>
    <t>0x0C</t>
  </si>
  <si>
    <t>Stealth</t>
  </si>
  <si>
    <t>0x0D</t>
  </si>
  <si>
    <t>Blackbomb</t>
  </si>
  <si>
    <t>0x0E</t>
  </si>
  <si>
    <t>Anti-Air</t>
  </si>
  <si>
    <t>0x0F</t>
  </si>
  <si>
    <t>Missile</t>
  </si>
  <si>
    <t>0x10</t>
  </si>
  <si>
    <t>Fighter</t>
  </si>
  <si>
    <t>0x11</t>
  </si>
  <si>
    <t>Bomber</t>
  </si>
  <si>
    <t>0x12</t>
  </si>
  <si>
    <t>Black Boat</t>
  </si>
  <si>
    <t>0x13</t>
  </si>
  <si>
    <t>0x14</t>
  </si>
  <si>
    <t>0x15</t>
  </si>
  <si>
    <t>B Ship</t>
  </si>
  <si>
    <t>0x16</t>
  </si>
  <si>
    <t>Cruiser</t>
  </si>
  <si>
    <t>0x17</t>
  </si>
  <si>
    <t>Lander</t>
  </si>
  <si>
    <t>0x18</t>
  </si>
  <si>
    <t>Sub</t>
  </si>
  <si>
    <t>0x19</t>
  </si>
  <si>
    <t>Carrier</t>
  </si>
  <si>
    <t>0x1A</t>
  </si>
  <si>
    <t>Oozium</t>
  </si>
  <si>
    <t>B-Copter</t>
  </si>
  <si>
    <t>T-Copter</t>
  </si>
  <si>
    <t>terrain</t>
  </si>
  <si>
    <t>0x00</t>
  </si>
  <si>
    <t>null</t>
  </si>
  <si>
    <t>Plain</t>
  </si>
  <si>
    <t>River</t>
  </si>
  <si>
    <t>mountain</t>
  </si>
  <si>
    <t>woods</t>
  </si>
  <si>
    <t>road</t>
  </si>
  <si>
    <t>city</t>
  </si>
  <si>
    <t>sea</t>
  </si>
  <si>
    <t>hq</t>
  </si>
  <si>
    <t>airport</t>
  </si>
  <si>
    <t>port</t>
  </si>
  <si>
    <t>bridge (r)</t>
  </si>
  <si>
    <t>beach</t>
  </si>
  <si>
    <t>factory</t>
  </si>
  <si>
    <t>pipe</t>
  </si>
  <si>
    <t>pipe seam</t>
  </si>
  <si>
    <t>silo</t>
  </si>
  <si>
    <t>silo (launched)</t>
  </si>
  <si>
    <t>reef</t>
  </si>
  <si>
    <t>lab</t>
  </si>
  <si>
    <t>mini-cannon</t>
  </si>
  <si>
    <t>com tower</t>
  </si>
  <si>
    <t>crystal</t>
  </si>
  <si>
    <t>g-bolt (core)</t>
  </si>
  <si>
    <t>laser</t>
  </si>
  <si>
    <t>cannon</t>
  </si>
  <si>
    <t>0x1B</t>
  </si>
  <si>
    <t>g-bolt (icky weapon)</t>
  </si>
  <si>
    <t>0x1C</t>
  </si>
  <si>
    <t>volcano</t>
  </si>
  <si>
    <t>0x1D</t>
  </si>
  <si>
    <t>obelisk</t>
  </si>
  <si>
    <t>0x1E</t>
  </si>
  <si>
    <t>deathray</t>
  </si>
  <si>
    <t>0x1F</t>
  </si>
  <si>
    <t>Off-limits</t>
  </si>
  <si>
    <t>text indexes</t>
  </si>
  <si>
    <t>0xF0</t>
  </si>
  <si>
    <t>0xC0</t>
  </si>
  <si>
    <t>0xBF</t>
  </si>
  <si>
    <t>0xBE</t>
  </si>
  <si>
    <t>0xBD</t>
  </si>
  <si>
    <t>0xB0</t>
  </si>
  <si>
    <t>0x96</t>
  </si>
  <si>
    <t>0x80</t>
  </si>
  <si>
    <t>0x7F</t>
  </si>
  <si>
    <t>0x7E</t>
  </si>
  <si>
    <t>0x7D</t>
  </si>
  <si>
    <t>0x7C</t>
  </si>
  <si>
    <t>0x7B</t>
  </si>
  <si>
    <t>0x7A</t>
  </si>
  <si>
    <t>0x79</t>
  </si>
  <si>
    <t>0x69</t>
  </si>
  <si>
    <t>0x68</t>
  </si>
  <si>
    <t>0x50</t>
  </si>
  <si>
    <t>0x48</t>
  </si>
  <si>
    <t>0x45</t>
  </si>
  <si>
    <t>0x44</t>
  </si>
  <si>
    <t>0x43</t>
  </si>
  <si>
    <t>0x42</t>
  </si>
  <si>
    <t>0x41</t>
  </si>
  <si>
    <t>0x40</t>
  </si>
  <si>
    <t>0x3E</t>
  </si>
  <si>
    <t>0x3D</t>
  </si>
  <si>
    <t>0x3C</t>
  </si>
  <si>
    <t>0x3B</t>
  </si>
  <si>
    <t>0x3A</t>
  </si>
  <si>
    <t>0x39</t>
  </si>
  <si>
    <t>0x38</t>
  </si>
  <si>
    <t>0x37</t>
  </si>
  <si>
    <t>0x36</t>
  </si>
  <si>
    <t>0x35</t>
  </si>
  <si>
    <t>0x34</t>
  </si>
  <si>
    <t>0x33</t>
  </si>
  <si>
    <t>0x32</t>
  </si>
  <si>
    <t>0x31</t>
  </si>
  <si>
    <t>0x30</t>
  </si>
  <si>
    <t>0x2F</t>
  </si>
  <si>
    <t>0x2E</t>
  </si>
  <si>
    <t>0x2D</t>
  </si>
  <si>
    <t>0x2C</t>
  </si>
  <si>
    <t>0x2B</t>
  </si>
  <si>
    <t>0x2A</t>
  </si>
  <si>
    <t>0x29</t>
  </si>
  <si>
    <t>0x28</t>
  </si>
  <si>
    <t>Surrounded?</t>
  </si>
  <si>
    <t>0x27</t>
  </si>
  <si>
    <t>0x26</t>
  </si>
  <si>
    <t>0x25</t>
  </si>
  <si>
    <t>0x24</t>
  </si>
  <si>
    <t>0x23</t>
  </si>
  <si>
    <t>0x22</t>
  </si>
  <si>
    <t>00</t>
  </si>
  <si>
    <t>01</t>
  </si>
  <si>
    <t>CO texts</t>
  </si>
  <si>
    <t>system/map/unit texts</t>
  </si>
  <si>
    <t>main menu?</t>
  </si>
  <si>
    <t>main menu</t>
  </si>
  <si>
    <t>versus rules selection</t>
  </si>
  <si>
    <t>design maps</t>
  </si>
  <si>
    <t>mode names (lion-star texts)</t>
  </si>
  <si>
    <t>skill names</t>
  </si>
  <si>
    <t>skill descriptions</t>
  </si>
  <si>
    <t>history room</t>
  </si>
  <si>
    <t>survival mode selection</t>
  </si>
  <si>
    <t>Hachi shop texts</t>
  </si>
  <si>
    <t>wireless mode</t>
  </si>
  <si>
    <t>sound room</t>
  </si>
  <si>
    <t>combat mode CO select/unit purchasing</t>
  </si>
  <si>
    <t>combat manual</t>
  </si>
  <si>
    <t>combat tutorial (3 texts, nothing else)</t>
  </si>
  <si>
    <t>epilogue wallpaper obtainment screen</t>
  </si>
  <si>
    <t>survival mode dialogue</t>
  </si>
  <si>
    <t>Jake's Trial</t>
  </si>
  <si>
    <t>The New Black?</t>
  </si>
  <si>
    <t>Max Attack?</t>
  </si>
  <si>
    <t>Reclaim the Skies?</t>
  </si>
  <si>
    <t>Neverending War?</t>
  </si>
  <si>
    <t>The Ocean Blue?</t>
  </si>
  <si>
    <t>Fog Rolls In?</t>
  </si>
  <si>
    <t>Tag Battle?</t>
  </si>
  <si>
    <t>Victory or Death?</t>
  </si>
  <si>
    <t>Black Boats Ahoy?</t>
  </si>
  <si>
    <t>Lightning Strikes?</t>
  </si>
  <si>
    <t>Frozen Fortress?</t>
  </si>
  <si>
    <t>Verdant Hills?</t>
  </si>
  <si>
    <t>Snow Hunters?</t>
  </si>
  <si>
    <t>Omens and Signs?</t>
  </si>
  <si>
    <t>Into the Woods?</t>
  </si>
  <si>
    <t>Muck Amok!?</t>
  </si>
  <si>
    <t>Healing Touch?</t>
  </si>
  <si>
    <t>Crystal Calamity?</t>
  </si>
  <si>
    <t>Dark Ambition?</t>
  </si>
  <si>
    <t>Pincer Strke?</t>
  </si>
  <si>
    <t>Ring of Fire?</t>
  </si>
  <si>
    <t>For the Future?</t>
  </si>
  <si>
    <t>Means to an End?</t>
  </si>
  <si>
    <t>The Long March?</t>
  </si>
  <si>
    <t>Lash's Test?</t>
  </si>
  <si>
    <t>Spiral Garden?</t>
  </si>
  <si>
    <t>campaign intro</t>
  </si>
  <si>
    <t>AW1 campaign (+)</t>
  </si>
  <si>
    <t>AW2 campaign (+)</t>
  </si>
  <si>
    <t>AW4 campaign (+)</t>
  </si>
  <si>
    <t>PVP maps (+)</t>
  </si>
  <si>
    <t>Lau texts (+)</t>
  </si>
  <si>
    <t>gamestyle menu screen (+)</t>
  </si>
  <si>
    <t>inventions</t>
  </si>
  <si>
    <t>02</t>
  </si>
  <si>
    <t>03</t>
  </si>
  <si>
    <t>04</t>
  </si>
  <si>
    <t>05</t>
  </si>
  <si>
    <t>06</t>
  </si>
  <si>
    <t>07</t>
  </si>
  <si>
    <t>08</t>
  </si>
  <si>
    <t>tile</t>
  </si>
  <si>
    <t>09</t>
  </si>
  <si>
    <t>0A</t>
  </si>
  <si>
    <t>routine</t>
  </si>
  <si>
    <t>0x2000b24</t>
  </si>
  <si>
    <t>0x1D8</t>
  </si>
  <si>
    <t>0x200acd8</t>
  </si>
  <si>
    <t>sets most important game/system data addresses</t>
  </si>
  <si>
    <t>0x2018f0c</t>
  </si>
  <si>
    <t>loads save data from battery</t>
  </si>
  <si>
    <t>sets the current RNG value</t>
  </si>
  <si>
    <t>r0</t>
  </si>
  <si>
    <t>r1</t>
  </si>
  <si>
    <t>r2</t>
  </si>
  <si>
    <t>r3</t>
  </si>
  <si>
    <t>[r13]</t>
  </si>
  <si>
    <t>[r13,0x4]</t>
  </si>
  <si>
    <t>"Main"; handles initialization, then system updates</t>
  </si>
  <si>
    <t>0x2004498</t>
  </si>
  <si>
    <t>0x20005BA</t>
  </si>
  <si>
    <t>VBlankIntrWait</t>
  </si>
  <si>
    <t>0x20c7104</t>
  </si>
  <si>
    <t>clears unit data at match start</t>
  </si>
  <si>
    <t>size</t>
  </si>
  <si>
    <t>0x2014D14</t>
  </si>
  <si>
    <t>draws numbers as text (bg0)</t>
  </si>
  <si>
    <t>--</t>
  </si>
  <si>
    <t>RNG value</t>
  </si>
  <si>
    <t>0x20bbfb0</t>
  </si>
  <si>
    <t>determines production flags for coordinate tile</t>
  </si>
  <si>
    <t>y-coord</t>
  </si>
  <si>
    <t>x-coord</t>
  </si>
  <si>
    <t>0xDC</t>
  </si>
  <si>
    <t>0x20bbc48</t>
  </si>
  <si>
    <t>draws texts/sprites/costs for unit production window</t>
  </si>
  <si>
    <t>0x20c</t>
  </si>
  <si>
    <t>0x20bc08c</t>
  </si>
  <si>
    <t>0x58</t>
  </si>
  <si>
    <t>unit production window update</t>
  </si>
  <si>
    <t>0x20bbe78</t>
  </si>
  <si>
    <t>0x138</t>
  </si>
  <si>
    <t>draws units to unit production window</t>
  </si>
  <si>
    <t>0x20bc2dc</t>
  </si>
  <si>
    <t>handles inputs, unit production window</t>
  </si>
  <si>
    <t>0x128</t>
  </si>
  <si>
    <t>0x202617c</t>
  </si>
  <si>
    <t>general input checker</t>
  </si>
  <si>
    <t>0xA0</t>
  </si>
  <si>
    <t>0x20bbaa8</t>
  </si>
  <si>
    <t>draws windows for unit production screen</t>
  </si>
  <si>
    <t>0x108</t>
  </si>
  <si>
    <t>0x64</t>
  </si>
  <si>
    <t>0x20cf884</t>
  </si>
  <si>
    <t>handles drawing CO info.cg, main</t>
  </si>
  <si>
    <t>0x20f8d40</t>
  </si>
  <si>
    <t>0x228</t>
  </si>
  <si>
    <t>loads tileset data</t>
  </si>
  <si>
    <t>0x20cd420</t>
  </si>
  <si>
    <t>0x2A8</t>
  </si>
  <si>
    <t>handles unit repairs</t>
  </si>
  <si>
    <t>0x20c9484</t>
  </si>
  <si>
    <t>checks for fuel costs?</t>
  </si>
  <si>
    <t>0x104</t>
  </si>
  <si>
    <t>0x20e18b4</t>
  </si>
  <si>
    <t>retrieves Dual Strike name</t>
  </si>
  <si>
    <t>CO ID 1</t>
  </si>
  <si>
    <t>CO ID 2</t>
  </si>
  <si>
    <t>0x20d534c</t>
  </si>
  <si>
    <t>retrieves CO power quote</t>
  </si>
  <si>
    <t>0xC8</t>
  </si>
  <si>
    <t>displays CO swap quote</t>
  </si>
  <si>
    <t>0x20dd620</t>
  </si>
  <si>
    <t>0x9C</t>
  </si>
  <si>
    <t>faction ID</t>
  </si>
  <si>
    <t>refreshes units for Tag break</t>
  </si>
  <si>
    <t>0x20dd5dc</t>
  </si>
  <si>
    <t>0x20153d4</t>
  </si>
  <si>
    <t>prints text ID to BG0</t>
  </si>
  <si>
    <t>0x4C</t>
  </si>
  <si>
    <t>text ID</t>
  </si>
  <si>
    <t>0x20c08cc</t>
  </si>
  <si>
    <t>checks for transport pointer</t>
  </si>
  <si>
    <t>0x8</t>
  </si>
  <si>
    <t>0x20c88fc</t>
  </si>
  <si>
    <t>writes unit IDs-per-tile</t>
  </si>
  <si>
    <t>0x408</t>
  </si>
  <si>
    <t>0x202595c</t>
  </si>
  <si>
    <t>initializes interactable OAM objects</t>
  </si>
  <si>
    <t>0x20cfc40</t>
  </si>
  <si>
    <t>related to drawing CO info</t>
  </si>
  <si>
    <t>0x20efbc8</t>
  </si>
  <si>
    <t>hardcoded check for R-Info tap, player map gameplay update</t>
  </si>
  <si>
    <t>0x20efbf4</t>
  </si>
  <si>
    <t>hardcoded check for A-Menu tap, player map gameplay update</t>
  </si>
  <si>
    <t>0x20efb9c</t>
  </si>
  <si>
    <t>hardcoded check for X-Swap tap, player map gameplay update</t>
  </si>
  <si>
    <t>0x20f1154</t>
  </si>
  <si>
    <t>handles Touch Screen graphic/update, player map gameplay update</t>
  </si>
  <si>
    <t>0x20f8764</t>
  </si>
  <si>
    <t>loads on-map graphic buttons</t>
  </si>
  <si>
    <t>0x20f425c</t>
  </si>
  <si>
    <t>loads on-map graphic buttons, secondary</t>
  </si>
  <si>
    <t>0x120</t>
  </si>
  <si>
    <t>0x20efb64</t>
  </si>
  <si>
    <t>submits data to render A-Menu tap icon</t>
  </si>
  <si>
    <t>0x20efb2c</t>
  </si>
  <si>
    <t>submits data to render R-Info tap icon</t>
  </si>
  <si>
    <t>0x20efaf4</t>
  </si>
  <si>
    <t>submits data to render X-Swap tap icon</t>
  </si>
  <si>
    <t>0x20d174c</t>
  </si>
  <si>
    <t>0x200</t>
  </si>
  <si>
    <t>0x2023c18</t>
  </si>
  <si>
    <t>determines which /icon sheet an icon ID belongs to</t>
  </si>
  <si>
    <t>0x2023e00</t>
  </si>
  <si>
    <t>loads an icon from the /icon folder</t>
  </si>
  <si>
    <t>0x78</t>
  </si>
  <si>
    <t>0x20cf2c8</t>
  </si>
  <si>
    <t>handles defeat, route</t>
  </si>
  <si>
    <t>0x20ca3d8</t>
  </si>
  <si>
    <t>sets to-be-defeated status</t>
  </si>
  <si>
    <t>0x6C</t>
  </si>
  <si>
    <t>executes Yield</t>
  </si>
  <si>
    <t>0x20ca32c</t>
  </si>
  <si>
    <t>0x20cf17c</t>
  </si>
  <si>
    <t>checks faction to-be-defeated status</t>
  </si>
  <si>
    <t>0x2043558</t>
  </si>
  <si>
    <t>handles Force Ranks display, CO select screen</t>
  </si>
  <si>
    <t>0x20e5450</t>
  </si>
  <si>
    <t>calculates Force Ranks level</t>
  </si>
  <si>
    <t>checks Force Ranks level</t>
  </si>
  <si>
    <t>0x20179a4</t>
  </si>
  <si>
    <t>0x62C</t>
  </si>
  <si>
    <t>0x2044228</t>
  </si>
  <si>
    <t>initializes CO select screen, window</t>
  </si>
  <si>
    <t>0x20d3ad0</t>
  </si>
  <si>
    <t>sets fog of war, colors, teams, match initiation</t>
  </si>
  <si>
    <t>0x20c3da4</t>
  </si>
  <si>
    <t>retrieves number of players</t>
  </si>
  <si>
    <t>map ID</t>
  </si>
  <si>
    <t>0x20d2104</t>
  </si>
  <si>
    <t>sets weather, map transition</t>
  </si>
  <si>
    <t>0x8C</t>
  </si>
  <si>
    <t>0x20e9274</t>
  </si>
  <si>
    <t>handles match setup, non-versus</t>
  </si>
  <si>
    <t>0x5A8</t>
  </si>
  <si>
    <t>0x20c1848</t>
  </si>
  <si>
    <t>0x84</t>
  </si>
  <si>
    <t>sets default values for teams (match data)</t>
  </si>
  <si>
    <t>0x20e8c3c</t>
  </si>
  <si>
    <t>sets default match parameters</t>
  </si>
  <si>
    <t>0x638</t>
  </si>
  <si>
    <t>0x2002c48</t>
  </si>
  <si>
    <t>loads CO palette</t>
  </si>
  <si>
    <t>index</t>
  </si>
  <si>
    <t>sets difficulty</t>
  </si>
  <si>
    <t>0x2019BC0</t>
  </si>
  <si>
    <t>0x2019B94</t>
  </si>
  <si>
    <t>sets level flags during early campaign missions</t>
  </si>
  <si>
    <t>0x20e1370</t>
  </si>
  <si>
    <t>0x134</t>
  </si>
  <si>
    <t>draws power status, main</t>
  </si>
  <si>
    <t>0x2DC</t>
  </si>
  <si>
    <t>draws stars/power status, main</t>
  </si>
  <si>
    <t>0x20e0694</t>
  </si>
  <si>
    <t>0x20c237c</t>
  </si>
  <si>
    <t>0x54</t>
  </si>
  <si>
    <t>checks if faction alive</t>
  </si>
  <si>
    <t>0x20c72c0</t>
  </si>
  <si>
    <t>handles unit deleting?</t>
  </si>
  <si>
    <t>0x20f88ec</t>
  </si>
  <si>
    <t>related to drawing map, secondary?</t>
  </si>
  <si>
    <t>0xA8</t>
  </si>
  <si>
    <t>0x20e17f0</t>
  </si>
  <si>
    <t>retrieves pointer to tag texts</t>
  </si>
  <si>
    <t>0x20e5488</t>
  </si>
  <si>
    <t>retrieves number of tag stars</t>
  </si>
  <si>
    <t>0x20e1948</t>
  </si>
  <si>
    <t>retrieves number of tag stars between pair</t>
  </si>
  <si>
    <t>0x20c7d58</t>
  </si>
  <si>
    <t>creates units</t>
  </si>
  <si>
    <t>0x20c7d8c</t>
  </si>
  <si>
    <t>sets unit data on creation</t>
  </si>
  <si>
    <t>0x94</t>
  </si>
  <si>
    <t>0x10C</t>
  </si>
  <si>
    <t>0x20c8184</t>
  </si>
  <si>
    <t>0x20c3468</t>
  </si>
  <si>
    <t>runs damages/luck/etc for battle simulation</t>
  </si>
  <si>
    <t>0x20c2ed4</t>
  </si>
  <si>
    <t>0x318</t>
  </si>
  <si>
    <t>performs a battle simulation</t>
  </si>
  <si>
    <t>0x2B4</t>
  </si>
  <si>
    <t>0x2015508</t>
  </si>
  <si>
    <t>handles text printing</t>
  </si>
  <si>
    <t>0x20157e4</t>
  </si>
  <si>
    <t>0x5C4</t>
  </si>
  <si>
    <t>handles some text control codes</t>
  </si>
  <si>
    <t>0x168</t>
  </si>
  <si>
    <t>0x20d308c</t>
  </si>
  <si>
    <t>handles map/gameplay updates?</t>
  </si>
  <si>
    <t>0x20d70cc</t>
  </si>
  <si>
    <t>handles design room load, graphic map</t>
  </si>
  <si>
    <t>0x20</t>
  </si>
  <si>
    <t>0x20d6ff4</t>
  </si>
  <si>
    <t>0xD8</t>
  </si>
  <si>
    <t>loads map terrain ID data, design room</t>
  </si>
  <si>
    <t>0x208c948</t>
  </si>
  <si>
    <t>updates unit max damage threshold on power execution (AI)</t>
  </si>
  <si>
    <t>0x208c860</t>
  </si>
  <si>
    <t>update AI situation profile upon power execution</t>
  </si>
  <si>
    <t>0xE8</t>
  </si>
  <si>
    <t>0x208cba8</t>
  </si>
  <si>
    <t>generates AI situation profile</t>
  </si>
  <si>
    <t>0x210</t>
  </si>
  <si>
    <t>0x208c9f8</t>
  </si>
  <si>
    <t>0x1B0</t>
  </si>
  <si>
    <t>determines AI profile ID to use</t>
  </si>
  <si>
    <t>0x20e5508</t>
  </si>
  <si>
    <t>0x70</t>
  </si>
  <si>
    <t>retrieves tag synergy modifier</t>
  </si>
  <si>
    <t>0x20e28e4</t>
  </si>
  <si>
    <t>checks if enough meter for CO power</t>
  </si>
  <si>
    <t>0x88</t>
  </si>
  <si>
    <t>0x20e298c</t>
  </si>
  <si>
    <t>checks if enough meter for Super CO power</t>
  </si>
  <si>
    <t>0x144</t>
  </si>
  <si>
    <t>0x20e27a0</t>
  </si>
  <si>
    <t>checks if enough meter for meter ready SFX</t>
  </si>
  <si>
    <t>0x20e0970</t>
  </si>
  <si>
    <t>checks meter for star flash palette and SFX</t>
  </si>
  <si>
    <t>0xE0</t>
  </si>
  <si>
    <t>0x201dac4</t>
  </si>
  <si>
    <t>loads graphics for talk windows</t>
  </si>
  <si>
    <t>0x2056aa8</t>
  </si>
  <si>
    <t>initializes screen for CO swap (tag break)</t>
  </si>
  <si>
    <t>0x1444</t>
  </si>
  <si>
    <t>0x20bb9e0</t>
  </si>
  <si>
    <t>checks which units are available for production</t>
  </si>
  <si>
    <t>initializes tag break initiation screen</t>
  </si>
  <si>
    <t>0x2059d78</t>
  </si>
  <si>
    <t>0x1348</t>
  </si>
  <si>
    <t>0x2019c54</t>
  </si>
  <si>
    <t>loads initial units</t>
  </si>
  <si>
    <t>0x33C</t>
  </si>
  <si>
    <t>0x209f560</t>
  </si>
  <si>
    <t>calculates number of turns required to finish a capture</t>
  </si>
  <si>
    <t>0x20d2194</t>
  </si>
  <si>
    <t>sets random weather chances at match start</t>
  </si>
  <si>
    <t>0xCC</t>
  </si>
  <si>
    <t>0x20d2190</t>
  </si>
  <si>
    <t>bx r14 (likely removed AW2 routine for CO-based random weather modifiers)</t>
  </si>
  <si>
    <t>0x206bc50</t>
  </si>
  <si>
    <t>0xAA4</t>
  </si>
  <si>
    <t>handles some match setup, versus</t>
  </si>
  <si>
    <t>0x2001a30</t>
  </si>
  <si>
    <t>sets CO IDs during faction setup</t>
  </si>
  <si>
    <t>0x164</t>
  </si>
  <si>
    <t>0x20c1444</t>
  </si>
  <si>
    <t>handles some faction setup, faction data</t>
  </si>
  <si>
    <t>0x404</t>
  </si>
  <si>
    <t>0x20fd984</t>
  </si>
  <si>
    <t>0xAC8</t>
  </si>
  <si>
    <t>campaign epilogue map display update?</t>
  </si>
  <si>
    <t>0x21039e4</t>
  </si>
  <si>
    <t>checks if hard difficulty</t>
  </si>
  <si>
    <t>0x20c3ca0</t>
  </si>
  <si>
    <t>retrieves map name text ID</t>
  </si>
  <si>
    <t>0x209e134</t>
  </si>
  <si>
    <t>determines unit type based on range</t>
  </si>
  <si>
    <t>0x209e3e8</t>
  </si>
  <si>
    <t>calculates highest base damage between units</t>
  </si>
  <si>
    <t>unit ID 1</t>
  </si>
  <si>
    <t>unit ID 2</t>
  </si>
  <si>
    <t>0x202c15c</t>
  </si>
  <si>
    <t>0x3B0</t>
  </si>
  <si>
    <t>generates mini-map for CO select screen</t>
  </si>
  <si>
    <t>0x20dedb0</t>
  </si>
  <si>
    <t>determines whether tile is captureable</t>
  </si>
  <si>
    <t>0x74</t>
  </si>
  <si>
    <t>0x20cb848</t>
  </si>
  <si>
    <t>0x1AC</t>
  </si>
  <si>
    <t>subroutine for damage indicator box</t>
  </si>
  <si>
    <t>0x20cb11c</t>
  </si>
  <si>
    <t>handles digit display, mini-box</t>
  </si>
  <si>
    <t>0x20cb9f4</t>
  </si>
  <si>
    <t>0xF1C</t>
  </si>
  <si>
    <t>a lot of graphics related to on-match, such as units and damage boxes</t>
  </si>
  <si>
    <t>0x20c92a0</t>
  </si>
  <si>
    <t>0x1E4</t>
  </si>
  <si>
    <t>determines unit pointer for L-Cycle</t>
  </si>
  <si>
    <t>0x20ef434</t>
  </si>
  <si>
    <t>0x230</t>
  </si>
  <si>
    <t>handles on-map inputs</t>
  </si>
  <si>
    <t>0x20f7da0</t>
  </si>
  <si>
    <t>0x2B8</t>
  </si>
  <si>
    <t>handles drawing units on top-screen</t>
  </si>
  <si>
    <t>0x2093434</t>
  </si>
  <si>
    <t>0x2EC</t>
  </si>
  <si>
    <t>handles unit purchasing</t>
  </si>
  <si>
    <t>0x209ec00</t>
  </si>
  <si>
    <t>checks if affected by healing inventions</t>
  </si>
  <si>
    <t>0x209f06c</t>
  </si>
  <si>
    <t>retrieves whether terrain is a property</t>
  </si>
  <si>
    <t>0x20c28ac</t>
  </si>
  <si>
    <t>determines whether to perform battle simulation (forcibly hangs if invalid)</t>
  </si>
  <si>
    <t>0x209f7ac</t>
  </si>
  <si>
    <t>0xBC</t>
  </si>
  <si>
    <t>unit pointer</t>
  </si>
  <si>
    <t>calculates number of capture points</t>
  </si>
  <si>
    <t>0x20e82a8</t>
  </si>
  <si>
    <t>handles loading saved match data</t>
  </si>
  <si>
    <t>0x328</t>
  </si>
  <si>
    <t>0x2041d48</t>
  </si>
  <si>
    <t>handles CO select screen, window, cancel?</t>
  </si>
  <si>
    <t>0x2041e30</t>
  </si>
  <si>
    <t>handles CO select screen window</t>
  </si>
  <si>
    <t>0xAC</t>
  </si>
  <si>
    <t>0x204572c</t>
  </si>
  <si>
    <t>checks duplicate COs, window</t>
  </si>
  <si>
    <t>0x20c703c</t>
  </si>
  <si>
    <t>handles unit status, Von Bolt paralyze, start of turn</t>
  </si>
  <si>
    <t>0xA4</t>
  </si>
  <si>
    <t>0x20c6f98</t>
  </si>
  <si>
    <t>handles unit wait status clear, end of turn</t>
  </si>
  <si>
    <t>0x20e85d0</t>
  </si>
  <si>
    <t>saves match data at match start</t>
  </si>
  <si>
    <t>0x20d3554</t>
  </si>
  <si>
    <t>0x57C</t>
  </si>
  <si>
    <t>related to match setup, includes send command</t>
  </si>
  <si>
    <t>0x20e0288</t>
  </si>
  <si>
    <t>0x5C</t>
  </si>
  <si>
    <t>retrieves range max?</t>
  </si>
  <si>
    <t>0x20ec058</t>
  </si>
  <si>
    <t>checks capture for SFX</t>
  </si>
  <si>
    <t>0x20ec120</t>
  </si>
  <si>
    <t>handles property capturing</t>
  </si>
  <si>
    <t>0x130</t>
  </si>
  <si>
    <t>0x20A3DFC</t>
  </si>
  <si>
    <t>checks if unit should approach property type (AI)</t>
  </si>
  <si>
    <t>terrain ID</t>
  </si>
  <si>
    <t>0x20f8344</t>
  </si>
  <si>
    <t>sets up damage box palette</t>
  </si>
  <si>
    <t>0x20bc15c</t>
  </si>
  <si>
    <t>0x180</t>
  </si>
  <si>
    <t>handles player unit purchasing?</t>
  </si>
  <si>
    <t>0x2026ce8</t>
  </si>
  <si>
    <t>writes 3xtile data to BG 0 transfer area</t>
  </si>
  <si>
    <t>0x2017a28</t>
  </si>
  <si>
    <t>Force Ranks related</t>
  </si>
  <si>
    <t>0x20179c0</t>
  </si>
  <si>
    <t>adds EXP to Force Ranks?</t>
  </si>
  <si>
    <t>0x209fadc</t>
  </si>
  <si>
    <t>AIActionRoutines_Oozium</t>
  </si>
  <si>
    <t>0x209faf8</t>
  </si>
  <si>
    <t>AIActionRoutines_BlackBomb</t>
  </si>
  <si>
    <t>0x209fb18</t>
  </si>
  <si>
    <t>AIActionRoutines_BlackBomb_explode</t>
  </si>
  <si>
    <t>AIActionRoutines_BlackBoat_repair</t>
  </si>
  <si>
    <t>AIActionRoutines_SupplyTruck</t>
  </si>
  <si>
    <t>0x208e170</t>
  </si>
  <si>
    <t>AIActionRoutines_NavalTransport</t>
  </si>
  <si>
    <t>0x209fb5c</t>
  </si>
  <si>
    <t>0x209fbc8</t>
  </si>
  <si>
    <t>AIActionRoutines_SingleTransportA (non-empty single-unit transport)</t>
  </si>
  <si>
    <t>AIActionRoutines_SingleTransportB (non-empty single-unit transports B)</t>
  </si>
  <si>
    <t>0x209fc10</t>
  </si>
  <si>
    <t>0x209fc2c</t>
  </si>
  <si>
    <t>AIActionRoutines_SingleTransportC (empty single-unit tranports)</t>
  </si>
  <si>
    <t>0x209fc58</t>
  </si>
  <si>
    <t>AIActionRoutines_Indirects_movement (indirects, actions)</t>
  </si>
  <si>
    <t>0x209fdb4</t>
  </si>
  <si>
    <t>AIActionRoutines_Indirects_action (indirects, movement)</t>
  </si>
  <si>
    <t>0x209fe88</t>
  </si>
  <si>
    <t>AIActionRoutines_Directs_action (directs action, main/secondary/tertiary)</t>
  </si>
  <si>
    <t>AIActionRoutines_Directs_movement (directs action, quarternary (movement))</t>
  </si>
  <si>
    <t>0x209ffe4</t>
  </si>
  <si>
    <t>0x20a00c8</t>
  </si>
  <si>
    <t>AIActionRoutines_Captures_actionB (foot soldier action, secondary)</t>
  </si>
  <si>
    <t>AIActionRoutines_Captures_actionA (capture unit action, main)</t>
  </si>
  <si>
    <t>0x20a022c</t>
  </si>
  <si>
    <t>0x20a0330</t>
  </si>
  <si>
    <t>AIActionRoutines_Captures_ContinueCaptures</t>
  </si>
  <si>
    <t>0x20ae9c0</t>
  </si>
  <si>
    <t>ActionsGeneral_InitiateCapture</t>
  </si>
  <si>
    <t>0x20aeefc</t>
  </si>
  <si>
    <t>forcibly interrupt capture (does not run battle simulation)</t>
  </si>
  <si>
    <t>ActionsOffense_LaunchAttack (specific attacks, launch Silo)</t>
  </si>
  <si>
    <t>0x20ad0d4</t>
  </si>
  <si>
    <t>0x630</t>
  </si>
  <si>
    <t>0x20ad8f8</t>
  </si>
  <si>
    <t>joins, capture units-only, skips target if no ammo?</t>
  </si>
  <si>
    <t>0x20ae37c</t>
  </si>
  <si>
    <t>0x644</t>
  </si>
  <si>
    <t>capturers, movement -&gt; pursue properties/transports</t>
  </si>
  <si>
    <t>0x20aedec</t>
  </si>
  <si>
    <t>0x110</t>
  </si>
  <si>
    <t>ActionsGeneral_ContinueCapture</t>
  </si>
  <si>
    <t>0x20a491c</t>
  </si>
  <si>
    <t>removes targetting-related flags (0xC), foot soldier-only</t>
  </si>
  <si>
    <t>0x20adf6c</t>
  </si>
  <si>
    <t>0x410</t>
  </si>
  <si>
    <t>capture units, load into transport</t>
  </si>
  <si>
    <t>0x20aff0c</t>
  </si>
  <si>
    <t>0x22C</t>
  </si>
  <si>
    <t>join action</t>
  </si>
  <si>
    <t>0x20a9854</t>
  </si>
  <si>
    <t>0x26C</t>
  </si>
  <si>
    <t>send to secondary front</t>
  </si>
  <si>
    <t>0x20af374</t>
  </si>
  <si>
    <t>0x1CC</t>
  </si>
  <si>
    <t>CalculateAction_SupplyUnits (Supply Truck)</t>
  </si>
  <si>
    <t>0x20af540</t>
  </si>
  <si>
    <t>0xB8</t>
  </si>
  <si>
    <t>ActionsRecover_JoinRetreatB (aggressive join/retreat)</t>
  </si>
  <si>
    <t>0x20b162c</t>
  </si>
  <si>
    <t>determines which attack routine to use based on range</t>
  </si>
  <si>
    <t>0x20b1fbc</t>
  </si>
  <si>
    <t>0x948</t>
  </si>
  <si>
    <t>calculates attack, directs</t>
  </si>
  <si>
    <t>0x20b169c</t>
  </si>
  <si>
    <t>0x920</t>
  </si>
  <si>
    <t>attacks, indirects</t>
  </si>
  <si>
    <t>0x20a12cc</t>
  </si>
  <si>
    <t>attacks, from join attempt</t>
  </si>
  <si>
    <t>0x5D0</t>
  </si>
  <si>
    <t>0x20b1148</t>
  </si>
  <si>
    <t>0x4E4</t>
  </si>
  <si>
    <t>attacks, directs AI 07 only</t>
  </si>
  <si>
    <t>0x20a0dec</t>
  </si>
  <si>
    <t>0x4E0</t>
  </si>
  <si>
    <t>attacks, unknown indirect, fog of war?</t>
  </si>
  <si>
    <t>0x20B2B70</t>
  </si>
  <si>
    <t>0x494</t>
  </si>
  <si>
    <t>general movment towards target tile</t>
  </si>
  <si>
    <t>0x20ab014</t>
  </si>
  <si>
    <t>0x6F8</t>
  </si>
  <si>
    <t>CalculateTargetTile_SeekTransports</t>
  </si>
  <si>
    <t>CalculateTargetTile_InventionsTiles</t>
  </si>
  <si>
    <t>0x20b297c</t>
  </si>
  <si>
    <t>0x1F4</t>
  </si>
  <si>
    <t>0x20aa9fc</t>
  </si>
  <si>
    <t>calculates target tile: captureable tiles?</t>
  </si>
  <si>
    <t>0x20afb58</t>
  </si>
  <si>
    <t>0x3B4</t>
  </si>
  <si>
    <t>repair mode retreat, calculate target tile</t>
  </si>
  <si>
    <t>0x20b0e1c</t>
  </si>
  <si>
    <t>0x32C</t>
  </si>
  <si>
    <t>movement, retreat to least damage/distance + highest terrain stars</t>
  </si>
  <si>
    <t>0x20b2904</t>
  </si>
  <si>
    <t>ActionsMovement_Retreat</t>
  </si>
  <si>
    <t>0x20af700</t>
  </si>
  <si>
    <t>0x458</t>
  </si>
  <si>
    <t>retreat for resupply</t>
  </si>
  <si>
    <t>0x20b0794</t>
  </si>
  <si>
    <t>retreat for idle repair/resupply</t>
  </si>
  <si>
    <t>0x20aacc0</t>
  </si>
  <si>
    <t>CalculateTargetTile_EnemyUnits</t>
  </si>
  <si>
    <t>0x20aacf8</t>
  </si>
  <si>
    <t>0x31C</t>
  </si>
  <si>
    <t>calculate target tile: enemy units</t>
  </si>
  <si>
    <t>0x20a9ac0</t>
  </si>
  <si>
    <t>0x1B8</t>
  </si>
  <si>
    <t>CalculateTargetTile_Properties</t>
  </si>
  <si>
    <t>0x20aac28</t>
  </si>
  <si>
    <t>CalculateTargetTile_EnemyHQ</t>
  </si>
  <si>
    <t>0x20aac60</t>
  </si>
  <si>
    <t>calculate target tile: enemy HQ</t>
  </si>
  <si>
    <t>0x60</t>
  </si>
  <si>
    <t>0x20a870c</t>
  </si>
  <si>
    <t>0xF8</t>
  </si>
  <si>
    <t>0x20a7034</t>
  </si>
  <si>
    <t>calculate target tile: enemy HQ in range, indirects-only</t>
  </si>
  <si>
    <t>0x20aa4a4</t>
  </si>
  <si>
    <t>determine target tile: AI4?, protect/follow specific foot soldier?</t>
  </si>
  <si>
    <t>0x20aa4dc</t>
  </si>
  <si>
    <t>0x4E8</t>
  </si>
  <si>
    <t>calculates target tile from unit RAM data?</t>
  </si>
  <si>
    <t>0x20aa1ec</t>
  </si>
  <si>
    <t>determines target tile: AI 5?, foot soldiers near properties?</t>
  </si>
  <si>
    <t>0x280</t>
  </si>
  <si>
    <t>0x20aa224</t>
  </si>
  <si>
    <t>calculates target tile: AI 5?</t>
  </si>
  <si>
    <t>0x20aa068</t>
  </si>
  <si>
    <t>CalculateTargetTile_ProtectHQ</t>
  </si>
  <si>
    <t>0x20aa0a0</t>
  </si>
  <si>
    <t>0x14C</t>
  </si>
  <si>
    <t>calculates target tile: AI 6, own HQ</t>
  </si>
  <si>
    <t>0x20af5f8</t>
  </si>
  <si>
    <t>ActionsRecover_JoinRetreat</t>
  </si>
  <si>
    <t>0x20b0a70</t>
  </si>
  <si>
    <t>0x324</t>
  </si>
  <si>
    <t>retreat for repairs</t>
  </si>
  <si>
    <t>0x209b2b0</t>
  </si>
  <si>
    <t>Black Bomb-specific setup?</t>
  </si>
  <si>
    <t>0x20b7a80</t>
  </si>
  <si>
    <t>Black Bomb, approach favorable cluster of enemy units?</t>
  </si>
  <si>
    <t>0x20b7d30</t>
  </si>
  <si>
    <t>black bomb explode</t>
  </si>
  <si>
    <t>0x20b7e90</t>
  </si>
  <si>
    <t>calculates value from tile for Black bomb</t>
  </si>
  <si>
    <t>0x1B4</t>
  </si>
  <si>
    <t>0x209b1b0</t>
  </si>
  <si>
    <t>0x100</t>
  </si>
  <si>
    <t>GenerateMaps_OoziumRange</t>
  </si>
  <si>
    <t>0x20b7460</t>
  </si>
  <si>
    <t>0x620</t>
  </si>
  <si>
    <t>CalculateAction_OoziumConsume</t>
  </si>
  <si>
    <t>0x20a0b80</t>
  </si>
  <si>
    <t>ActionsDirects_00 (also 0x2 if failed)</t>
  </si>
  <si>
    <t>0x20a0b44</t>
  </si>
  <si>
    <t>ActionsDirects_01</t>
  </si>
  <si>
    <t>ActionsDirects_02</t>
  </si>
  <si>
    <t>0x20a0b04</t>
  </si>
  <si>
    <t>0x20a0ac4</t>
  </si>
  <si>
    <t>ActionsDirects_03</t>
  </si>
  <si>
    <t>ActionsDirects_04</t>
  </si>
  <si>
    <t>0x20a0a84</t>
  </si>
  <si>
    <t>0x20a0a44</t>
  </si>
  <si>
    <t>0x20a0a0c</t>
  </si>
  <si>
    <t>ActionsDirects_05 (also 0x6 if failed)</t>
  </si>
  <si>
    <t>0x20a09bc</t>
  </si>
  <si>
    <t>0x20a0988</t>
  </si>
  <si>
    <t>0x20a0954</t>
  </si>
  <si>
    <t>0x20a0924</t>
  </si>
  <si>
    <t>ActionsDirects_06</t>
  </si>
  <si>
    <t>ActionsDirects_07</t>
  </si>
  <si>
    <t>ActionsDirects_08</t>
  </si>
  <si>
    <t>ActionsDirects_09</t>
  </si>
  <si>
    <t>ActionsDirects_0A</t>
  </si>
  <si>
    <t>0x20a0bdc</t>
  </si>
  <si>
    <t>MovementDirects_secondary (0x1,0xA)</t>
  </si>
  <si>
    <t>0x20a0bc0</t>
  </si>
  <si>
    <t>MovementDirects_07</t>
  </si>
  <si>
    <t>ActionsIndirects_main</t>
  </si>
  <si>
    <t>0x20a0904</t>
  </si>
  <si>
    <t>ActionsIndirects_secondary</t>
  </si>
  <si>
    <t>0x20a08e8</t>
  </si>
  <si>
    <t>0x20a086c</t>
  </si>
  <si>
    <t>MovementIndirects_01</t>
  </si>
  <si>
    <t>0x20a07f4</t>
  </si>
  <si>
    <t>0x20a0778</t>
  </si>
  <si>
    <t>MovementIndirects_02</t>
  </si>
  <si>
    <t>MovementIndirects_00 (also 0x2 if failed)</t>
  </si>
  <si>
    <t>MovementIndirects_03</t>
  </si>
  <si>
    <t>0x20a06fc</t>
  </si>
  <si>
    <t>0x20a0680</t>
  </si>
  <si>
    <t>MovementIndirects_04</t>
  </si>
  <si>
    <t>0x20a0604</t>
  </si>
  <si>
    <t>MovementIndirects_05 (also 0x6 if failed)</t>
  </si>
  <si>
    <t>0x20a0590</t>
  </si>
  <si>
    <t>MovementIndirects_06</t>
  </si>
  <si>
    <t>0x20a0508</t>
  </si>
  <si>
    <t>MovementIndirects_07</t>
  </si>
  <si>
    <t>0x20a0498</t>
  </si>
  <si>
    <t>MovementIndirects_08</t>
  </si>
  <si>
    <t>0x20a0428</t>
  </si>
  <si>
    <t>MovementIndirects_09</t>
  </si>
  <si>
    <t>MovementIndirects_0A</t>
  </si>
  <si>
    <t>0x20a03bc</t>
  </si>
  <si>
    <t>0x20abe3c</t>
  </si>
  <si>
    <t>0x80C</t>
  </si>
  <si>
    <t>ActionsTransports_DropCaptures</t>
  </si>
  <si>
    <t>0x20a4a70</t>
  </si>
  <si>
    <t>0x2CC</t>
  </si>
  <si>
    <t>calculates distance drop weight</t>
  </si>
  <si>
    <t>0x20af18c</t>
  </si>
  <si>
    <t>0x1E8</t>
  </si>
  <si>
    <t>CalculateAction_RepairUnits</t>
  </si>
  <si>
    <t>0x20df18c</t>
  </si>
  <si>
    <t>0x16C</t>
  </si>
  <si>
    <t>CheckUnitCanBeRepaired</t>
  </si>
  <si>
    <t>0x20b5750</t>
  </si>
  <si>
    <t>0x350</t>
  </si>
  <si>
    <t>naval transports, calculates route?</t>
  </si>
  <si>
    <t>0x20b320c</t>
  </si>
  <si>
    <t>ActionsTransport_MoveDrop</t>
  </si>
  <si>
    <t>0x20b46c4</t>
  </si>
  <si>
    <t>0x284</t>
  </si>
  <si>
    <t>transport-related routine set?</t>
  </si>
  <si>
    <t>0x20b4ca4</t>
  </si>
  <si>
    <t>naval transports, sets route check routines?</t>
  </si>
  <si>
    <t>0x20b5464</t>
  </si>
  <si>
    <t>sets naval transport check routines</t>
  </si>
  <si>
    <t>0x20b5b94</t>
  </si>
  <si>
    <t>returns 0x1 if current landmass is connected</t>
  </si>
  <si>
    <t>0x20b4d04</t>
  </si>
  <si>
    <t>transport route check 2, AI 0x8,0x9,0xA</t>
  </si>
  <si>
    <t>transport route check 1, AI 0x8,0x9,0xA</t>
  </si>
  <si>
    <t>0x20b4d0c</t>
  </si>
  <si>
    <t>transport route check 2, AI 0x6 conditional</t>
  </si>
  <si>
    <t>0x20b4e84</t>
  </si>
  <si>
    <t>0x20b4e8c</t>
  </si>
  <si>
    <t>transport route check 1, AI 0x6</t>
  </si>
  <si>
    <t>0x20b507c</t>
  </si>
  <si>
    <t>transport route check 2, AI 0x4</t>
  </si>
  <si>
    <t>0x20b5098</t>
  </si>
  <si>
    <t>transport route check 1, AI 0x4</t>
  </si>
  <si>
    <t>0x20b5198</t>
  </si>
  <si>
    <t>transport route check 2, AI 0x6 conditional 2</t>
  </si>
  <si>
    <t>0x20b51b4</t>
  </si>
  <si>
    <t>transport route check 1, AI 0x6 conditional 2</t>
  </si>
  <si>
    <t>0x20b52cc</t>
  </si>
  <si>
    <t>transport route check 2, AI 0x2 conditional 2</t>
  </si>
  <si>
    <t>0x20b52d4</t>
  </si>
  <si>
    <t>0xEC</t>
  </si>
  <si>
    <t>transport route check 1, AI 0x2 conditional 2</t>
  </si>
  <si>
    <t>0x20b54c4</t>
  </si>
  <si>
    <t>transport route check 2, AI 0x0,0x1</t>
  </si>
  <si>
    <t>0x20b5528</t>
  </si>
  <si>
    <t>transport route check 1, AI 0x0,0x1</t>
  </si>
  <si>
    <t>0x20b6e4c</t>
  </si>
  <si>
    <t>transport calculation, counts valid enemy targets on land</t>
  </si>
  <si>
    <t>0x20b5668</t>
  </si>
  <si>
    <t>transport route check 2, capture units</t>
  </si>
  <si>
    <t>0x20b56ac</t>
  </si>
  <si>
    <t>transport route check 1, capture units</t>
  </si>
  <si>
    <t>0x20ac648</t>
  </si>
  <si>
    <t>0x3A0</t>
  </si>
  <si>
    <t>transport target tile, empty single transports</t>
  </si>
  <si>
    <t>0x20b5bf4</t>
  </si>
  <si>
    <t>something transport-related</t>
  </si>
  <si>
    <t>0x209df28</t>
  </si>
  <si>
    <t>0x150</t>
  </si>
  <si>
    <t>transport calculation?</t>
  </si>
  <si>
    <t>0x20aba28</t>
  </si>
  <si>
    <t>0x414</t>
  </si>
  <si>
    <t>routine, transport A, calculate target</t>
  </si>
  <si>
    <t>0x20a8804</t>
  </si>
  <si>
    <t>0x1A8</t>
  </si>
  <si>
    <t>checks unit on tile, transports</t>
  </si>
  <si>
    <t>0x20ac9e8</t>
  </si>
  <si>
    <t>0x6EC</t>
  </si>
  <si>
    <t>transport movement, approach capture units</t>
  </si>
  <si>
    <t>0x20b6c84</t>
  </si>
  <si>
    <t>0x90</t>
  </si>
  <si>
    <t>AI calculation, drop</t>
  </si>
  <si>
    <t>0x208fbb0</t>
  </si>
  <si>
    <t>executes AI unit action</t>
  </si>
  <si>
    <t>0x1F8</t>
  </si>
  <si>
    <t>0x212969c</t>
  </si>
  <si>
    <t>0x21296a8</t>
  </si>
  <si>
    <t>AI_SavestateRoutine</t>
  </si>
  <si>
    <t>AI_LoadstateRoutine</t>
  </si>
  <si>
    <t>0x208d984</t>
  </si>
  <si>
    <t>0x208fe44</t>
  </si>
  <si>
    <t>0x310</t>
  </si>
  <si>
    <t>AIActionPhase_2 (executes AI routine for units to act, AI action phase 0x2)</t>
  </si>
  <si>
    <t>0x2093824</t>
  </si>
  <si>
    <t>AIActionPhase_4 (unit production)</t>
  </si>
  <si>
    <t>0x2099F88</t>
  </si>
  <si>
    <t>AIActionPhase_5 (check for CO Swap)</t>
  </si>
  <si>
    <t>208DAD4</t>
  </si>
  <si>
    <t>AI action phase 0x1</t>
  </si>
  <si>
    <t>AI action phase 0x0 (sets up AI profile)</t>
  </si>
  <si>
    <t>0x20B9540</t>
  </si>
  <si>
    <t>0x118</t>
  </si>
  <si>
    <t>AI action phase 0x3</t>
  </si>
  <si>
    <t>0x208C2A4</t>
  </si>
  <si>
    <t>AI phase routine execution</t>
  </si>
  <si>
    <t>0xC4</t>
  </si>
  <si>
    <t>0x208C230</t>
  </si>
  <si>
    <t>AIActionPhase_6 (sets cursor coordinates, refreshes units)</t>
  </si>
  <si>
    <t>0x20a2f98</t>
  </si>
  <si>
    <t>0x12C</t>
  </si>
  <si>
    <t>related to AI unit action execution</t>
  </si>
  <si>
    <t>0x20a3ab4</t>
  </si>
  <si>
    <t>checks if AI action is capture</t>
  </si>
  <si>
    <t>0x20803fc</t>
  </si>
  <si>
    <t>0x20c8330</t>
  </si>
  <si>
    <t>fails if Oozium</t>
  </si>
  <si>
    <t>0x208fda8</t>
  </si>
  <si>
    <t>0x20a2044</t>
  </si>
  <si>
    <t>0xF54</t>
  </si>
  <si>
    <t>AutoAssignOtherAction (auto-action routine)</t>
  </si>
  <si>
    <t>0x20a0c1c</t>
  </si>
  <si>
    <t>0x1D0</t>
  </si>
  <si>
    <t>main setup routine for join action at execution</t>
  </si>
  <si>
    <t>0x20a189c</t>
  </si>
  <si>
    <t>setup for join target to be set to active</t>
  </si>
  <si>
    <t>0x20a1a08</t>
  </si>
  <si>
    <t>0x114</t>
  </si>
  <si>
    <t>AutoAssignAttackAction (auto-assigns attack from movement action)</t>
  </si>
  <si>
    <t>0x20a1e78</t>
  </si>
  <si>
    <t>determines auto-attack from idle, directs</t>
  </si>
  <si>
    <t>0x20a1b1c</t>
  </si>
  <si>
    <t>0x35C</t>
  </si>
  <si>
    <t>determines auto-attack from idle, indirects</t>
  </si>
  <si>
    <t>0x20a8d80</t>
  </si>
  <si>
    <t>0xAD4</t>
  </si>
  <si>
    <t>AIBattleExchangeEvaluation</t>
  </si>
  <si>
    <t>0x20a770c</t>
  </si>
  <si>
    <t>0x8D4</t>
  </si>
  <si>
    <t>checks if should forcibly move off tile</t>
  </si>
  <si>
    <t>0x20a89ac</t>
  </si>
  <si>
    <t>0x174</t>
  </si>
  <si>
    <t>determines whether can attack from tile</t>
  </si>
  <si>
    <t>0x20a8b20</t>
  </si>
  <si>
    <t>0x260</t>
  </si>
  <si>
    <t>calculates penalty/value for acting from a particular tile</t>
  </si>
  <si>
    <t>0x20a3b54</t>
  </si>
  <si>
    <t>affects flags for battle exchange evaluation</t>
  </si>
  <si>
    <t>0x20a6d30</t>
  </si>
  <si>
    <t>0x304</t>
  </si>
  <si>
    <t>related to battle calculations, checks if ally in range?</t>
  </si>
  <si>
    <t>0x209c948</t>
  </si>
  <si>
    <t>GenerateMaps_DamagePerTile</t>
  </si>
  <si>
    <t>0x209cacc</t>
  </si>
  <si>
    <t>0xA14</t>
  </si>
  <si>
    <t>routine that writes enemy unit damage per tile</t>
  </si>
  <si>
    <t>0x208d2f0</t>
  </si>
  <si>
    <t>relates to AI short 0xA of unit RAM</t>
  </si>
  <si>
    <t>0x20c3954</t>
  </si>
  <si>
    <t>0xF4</t>
  </si>
  <si>
    <t>retrieves terrain-based bonus for tile</t>
  </si>
  <si>
    <t>湖</t>
  </si>
  <si>
    <t>(scroll down)</t>
  </si>
  <si>
    <t>battle animation</t>
  </si>
  <si>
    <t>events</t>
  </si>
  <si>
    <t>extra</t>
  </si>
  <si>
    <t>design room</t>
  </si>
  <si>
    <t>misc room</t>
  </si>
  <si>
    <t>unit 0x1</t>
  </si>
  <si>
    <t>unit 0x2</t>
  </si>
  <si>
    <t>unit 0x3</t>
  </si>
  <si>
    <t>unit 0x4</t>
  </si>
  <si>
    <t>unit 0x5</t>
  </si>
  <si>
    <t>unit 0x6</t>
  </si>
  <si>
    <t>unit 0x7</t>
  </si>
  <si>
    <t>unit 0x8</t>
  </si>
  <si>
    <t>unit 0x9</t>
  </si>
  <si>
    <t>unit 0xa</t>
  </si>
  <si>
    <t>unit 0xb</t>
  </si>
  <si>
    <t>unit 0xc</t>
  </si>
  <si>
    <t>unit 0xd</t>
  </si>
  <si>
    <t>unit 0xe</t>
  </si>
  <si>
    <t>unit 0xf</t>
  </si>
  <si>
    <t>unit 0x10</t>
  </si>
  <si>
    <t>unit 0x11</t>
  </si>
  <si>
    <t>unit 0x12</t>
  </si>
  <si>
    <t>unit 0x13</t>
  </si>
  <si>
    <t>unit 0x14</t>
  </si>
  <si>
    <t>unit 0x15</t>
  </si>
  <si>
    <t>unit 0x16</t>
  </si>
  <si>
    <t>unit 0x17</t>
  </si>
  <si>
    <t>unit 0x18</t>
  </si>
  <si>
    <t>unit 0x19</t>
  </si>
  <si>
    <t>unit 0x20</t>
  </si>
  <si>
    <t>unit 0x21</t>
  </si>
  <si>
    <t>unit 0x22</t>
  </si>
  <si>
    <t>unit 0x23</t>
  </si>
  <si>
    <t>unit 0x24</t>
  </si>
  <si>
    <t>unit 0x25</t>
  </si>
  <si>
    <t>unit 0x26</t>
  </si>
  <si>
    <t>unit 0x27</t>
  </si>
  <si>
    <t>unit 0x28</t>
  </si>
  <si>
    <t>unit 0x29</t>
  </si>
  <si>
    <t>unit 0x30</t>
  </si>
  <si>
    <t>unit 0x31</t>
  </si>
  <si>
    <t>unit 0x32</t>
  </si>
  <si>
    <t>unit 0x33</t>
  </si>
  <si>
    <t>unit 0x34</t>
  </si>
  <si>
    <t>unit 0x35</t>
  </si>
  <si>
    <t>unit 0x36</t>
  </si>
  <si>
    <t>unit 0x37</t>
  </si>
  <si>
    <t>unit 0x38</t>
  </si>
  <si>
    <t>unit 0x39</t>
  </si>
  <si>
    <t>unit 0x1a</t>
  </si>
  <si>
    <t>unit 0x1e</t>
  </si>
  <si>
    <t>unit 0x1b</t>
  </si>
  <si>
    <t>unit 0x1c</t>
  </si>
  <si>
    <t>unit 0x1d</t>
  </si>
  <si>
    <t>unit 0x1f</t>
  </si>
  <si>
    <t>unit 0x2a</t>
  </si>
  <si>
    <t>unit 0x2b</t>
  </si>
  <si>
    <t>unit 0x2c</t>
  </si>
  <si>
    <t>unit 0x2d</t>
  </si>
  <si>
    <t>unit 0x2e</t>
  </si>
  <si>
    <t>unit 0x2f</t>
  </si>
  <si>
    <t>unit 0x3a</t>
  </si>
  <si>
    <t>unit 0x3b</t>
  </si>
  <si>
    <t>unit 0x3c</t>
  </si>
  <si>
    <t>unit 0x3d</t>
  </si>
  <si>
    <t>unit 0x3e</t>
  </si>
  <si>
    <t>unit 0x3f</t>
  </si>
  <si>
    <t>faction 3-2</t>
  </si>
  <si>
    <t>faction 4-2</t>
  </si>
  <si>
    <t>Bean Island</t>
  </si>
  <si>
    <t>Crater Isle</t>
  </si>
  <si>
    <t>Triangles</t>
  </si>
  <si>
    <t>Ball Islands</t>
  </si>
  <si>
    <t>Coral Lagoon</t>
  </si>
  <si>
    <t>Puzzle Trio</t>
  </si>
  <si>
    <t>Fist Peninsula</t>
  </si>
  <si>
    <t>Deer Harbor</t>
  </si>
  <si>
    <t>Alara Range</t>
  </si>
  <si>
    <t>Lost River</t>
  </si>
  <si>
    <t>Volcano Isle</t>
  </si>
  <si>
    <t>Turtle Atoll</t>
  </si>
  <si>
    <t>Squash Island</t>
  </si>
  <si>
    <t>Cube Keys</t>
  </si>
  <si>
    <t>Mirror Islands</t>
  </si>
  <si>
    <t>Shark Strait</t>
  </si>
  <si>
    <t>Royal Channel</t>
  </si>
  <si>
    <t>2 Player</t>
  </si>
  <si>
    <t>Little Island</t>
  </si>
  <si>
    <t>Sun Canal</t>
  </si>
  <si>
    <t>Beaker River</t>
  </si>
  <si>
    <t>Star Islands</t>
  </si>
  <si>
    <t>Eon Springs</t>
  </si>
  <si>
    <t>Portal Bridge</t>
  </si>
  <si>
    <t>Sabre Range</t>
  </si>
  <si>
    <t>Asphalt Maze</t>
  </si>
  <si>
    <t>Cog Isle</t>
  </si>
  <si>
    <t>Zero Wood</t>
  </si>
  <si>
    <t>Switchback</t>
  </si>
  <si>
    <t>Ruby Keys</t>
  </si>
  <si>
    <t>Rainy Haven</t>
  </si>
  <si>
    <t>Rail Strait</t>
  </si>
  <si>
    <t>Tribe Islands</t>
  </si>
  <si>
    <t>0x21</t>
  </si>
  <si>
    <t>Vision Bridge</t>
  </si>
  <si>
    <t>Piston Dam</t>
  </si>
  <si>
    <t>Hat Harbor</t>
  </si>
  <si>
    <t>Swan Cove</t>
  </si>
  <si>
    <t>Go Islands</t>
  </si>
  <si>
    <t>Hourglass Isle</t>
  </si>
  <si>
    <t>Pipes Aplenty</t>
  </si>
  <si>
    <t>Frigid Finale</t>
  </si>
  <si>
    <t>Hachi's Land</t>
  </si>
  <si>
    <t>Nell's Land</t>
  </si>
  <si>
    <t>Sturm's Land</t>
  </si>
  <si>
    <t>Lash's Land</t>
  </si>
  <si>
    <t>Deployed</t>
  </si>
  <si>
    <t>Brace Range</t>
  </si>
  <si>
    <t>River Range</t>
  </si>
  <si>
    <t>Moon Isle</t>
  </si>
  <si>
    <t>Mint Plateau</t>
  </si>
  <si>
    <t>Jewel Canal</t>
  </si>
  <si>
    <t>Wrench Island</t>
  </si>
  <si>
    <t>Rapid Ferry</t>
  </si>
  <si>
    <t>Bundle City</t>
  </si>
  <si>
    <t>Scarab Road</t>
  </si>
  <si>
    <t>Pointing River</t>
  </si>
  <si>
    <t>Liason Woods</t>
  </si>
  <si>
    <t>Delta Heights</t>
  </si>
  <si>
    <t>Poem Cape</t>
  </si>
  <si>
    <t>Blue Lake</t>
  </si>
  <si>
    <t>Coil Range</t>
  </si>
  <si>
    <t>Leaf Haven</t>
  </si>
  <si>
    <t>Battle Cube</t>
  </si>
  <si>
    <t>Big Daddy</t>
  </si>
  <si>
    <t>0x3F</t>
  </si>
  <si>
    <t>Grid Assault</t>
  </si>
  <si>
    <t>Crossroad</t>
  </si>
  <si>
    <t>Trifecta Isles</t>
  </si>
  <si>
    <t>Ocean Prison</t>
  </si>
  <si>
    <t>Narrow Ridge</t>
  </si>
  <si>
    <t>Deadlakes</t>
  </si>
  <si>
    <t>No-Exit Isles</t>
  </si>
  <si>
    <t>0x46</t>
  </si>
  <si>
    <t>Arrow Point</t>
  </si>
  <si>
    <t>0x47</t>
  </si>
  <si>
    <t>Crater Reef</t>
  </si>
  <si>
    <t>Lost Road</t>
  </si>
  <si>
    <t>0x49</t>
  </si>
  <si>
    <t>Capital Clash</t>
  </si>
  <si>
    <t>0x4A</t>
  </si>
  <si>
    <t>Islands Agogo</t>
  </si>
  <si>
    <t>0x4B</t>
  </si>
  <si>
    <t>Grand Battle</t>
  </si>
  <si>
    <t>3 Player</t>
  </si>
  <si>
    <t>Pyramid Cape</t>
  </si>
  <si>
    <t>0x4D</t>
  </si>
  <si>
    <t>Bead Islands</t>
  </si>
  <si>
    <t>0x4E</t>
  </si>
  <si>
    <t>Clover Keys</t>
  </si>
  <si>
    <t>0x4F</t>
  </si>
  <si>
    <t>Keyhole Cove</t>
  </si>
  <si>
    <t>Fork River</t>
  </si>
  <si>
    <t>0x51</t>
  </si>
  <si>
    <t>Mantis River</t>
  </si>
  <si>
    <t>0x52</t>
  </si>
  <si>
    <t>Channel City</t>
  </si>
  <si>
    <t>0x53</t>
  </si>
  <si>
    <t>Ink Canal</t>
  </si>
  <si>
    <t>Shield Hills</t>
  </si>
  <si>
    <t>0x55</t>
  </si>
  <si>
    <t>Peril Maze</t>
  </si>
  <si>
    <t>0x56</t>
  </si>
  <si>
    <t>Gem Creek</t>
  </si>
  <si>
    <t>0x57</t>
  </si>
  <si>
    <t>Glass Heights</t>
  </si>
  <si>
    <t>Devil's Inlet</t>
  </si>
  <si>
    <t>0x59</t>
  </si>
  <si>
    <t>Shear Port</t>
  </si>
  <si>
    <t>0x5A</t>
  </si>
  <si>
    <t>Liar's Cove</t>
  </si>
  <si>
    <t>0x5B</t>
  </si>
  <si>
    <t>Nail Canal</t>
  </si>
  <si>
    <t>Atlas River</t>
  </si>
  <si>
    <t>0x5D</t>
  </si>
  <si>
    <t>Eel Channels</t>
  </si>
  <si>
    <t>0x5E</t>
  </si>
  <si>
    <t>Jab Peninsula</t>
  </si>
  <si>
    <t>0x5F</t>
  </si>
  <si>
    <t>Thorn Islands</t>
  </si>
  <si>
    <t>Portsmouth</t>
  </si>
  <si>
    <t>0x61</t>
  </si>
  <si>
    <t>Archipelagos</t>
  </si>
  <si>
    <t>0x62</t>
  </si>
  <si>
    <t>Wyrm's Eye</t>
  </si>
  <si>
    <t>0x63</t>
  </si>
  <si>
    <t>Knotted Keys</t>
  </si>
  <si>
    <t>Fan Isle</t>
  </si>
  <si>
    <t>0x65</t>
  </si>
  <si>
    <t>Gridlock Glen</t>
  </si>
  <si>
    <t>0x66</t>
  </si>
  <si>
    <t>Kidney Island</t>
  </si>
  <si>
    <t>4 Player</t>
  </si>
  <si>
    <t>0x67</t>
  </si>
  <si>
    <t>Four Corners</t>
  </si>
  <si>
    <t>Rocket Cape</t>
  </si>
  <si>
    <t>Crop River</t>
  </si>
  <si>
    <t>0x6A</t>
  </si>
  <si>
    <t>Tween Isle</t>
  </si>
  <si>
    <t>0x6B</t>
  </si>
  <si>
    <t>Rival Islands</t>
  </si>
  <si>
    <t>Loop Road</t>
  </si>
  <si>
    <t>0x6D</t>
  </si>
  <si>
    <t>Plus Canal</t>
  </si>
  <si>
    <t>0x6E</t>
  </si>
  <si>
    <t>Islas Five</t>
  </si>
  <si>
    <t>0x6F</t>
  </si>
  <si>
    <t>Patriot Cove</t>
  </si>
  <si>
    <t>Web River</t>
  </si>
  <si>
    <t>0x71</t>
  </si>
  <si>
    <t>Cap Narrows</t>
  </si>
  <si>
    <t>0x72</t>
  </si>
  <si>
    <t>Jay Islands</t>
  </si>
  <si>
    <t>0x73</t>
  </si>
  <si>
    <t>Chain Canal</t>
  </si>
  <si>
    <t>Spring Lakes</t>
  </si>
  <si>
    <t>0x75</t>
  </si>
  <si>
    <t>Tatter River</t>
  </si>
  <si>
    <t>0x76</t>
  </si>
  <si>
    <t>Island X</t>
  </si>
  <si>
    <t>0x77</t>
  </si>
  <si>
    <t>Alakule</t>
  </si>
  <si>
    <t>Traitor River</t>
  </si>
  <si>
    <t>Fable Hills</t>
  </si>
  <si>
    <t>South Cape</t>
  </si>
  <si>
    <t>Glory Islands</t>
  </si>
  <si>
    <t>Pipe Maze</t>
  </si>
  <si>
    <t>Lock Ridge</t>
  </si>
  <si>
    <t>Heartland</t>
  </si>
  <si>
    <t>Badlands</t>
  </si>
  <si>
    <t>Marine Cross</t>
  </si>
  <si>
    <t>0x81</t>
  </si>
  <si>
    <t>Axle Roads</t>
  </si>
  <si>
    <t>0x82</t>
  </si>
  <si>
    <t>Worm Canal</t>
  </si>
  <si>
    <t>0x83</t>
  </si>
  <si>
    <t>Broken Land</t>
  </si>
  <si>
    <t>Rough Terrain</t>
  </si>
  <si>
    <t>0x85</t>
  </si>
  <si>
    <t>Deep Forest</t>
  </si>
  <si>
    <t>0x86</t>
  </si>
  <si>
    <t>Scramble Isle</t>
  </si>
  <si>
    <t>0x87</t>
  </si>
  <si>
    <t>Danger Pool</t>
  </si>
  <si>
    <t>Dark City</t>
  </si>
  <si>
    <t>0x89</t>
  </si>
  <si>
    <t>Clover Pond</t>
  </si>
  <si>
    <t>0x8A</t>
  </si>
  <si>
    <t>Cross Cape</t>
  </si>
  <si>
    <t>War Room</t>
  </si>
  <si>
    <t>0x8B</t>
  </si>
  <si>
    <t>Spann Island</t>
  </si>
  <si>
    <t>Moji Island</t>
  </si>
  <si>
    <t>0x8D</t>
  </si>
  <si>
    <t>Duo Falls</t>
  </si>
  <si>
    <t>0x8E</t>
  </si>
  <si>
    <t>Sole Harbor</t>
  </si>
  <si>
    <t>0x8F</t>
  </si>
  <si>
    <t>Pivot Isle</t>
  </si>
  <si>
    <t>Land's End</t>
  </si>
  <si>
    <t>0x91</t>
  </si>
  <si>
    <t>Kita Straight</t>
  </si>
  <si>
    <t>0x92</t>
  </si>
  <si>
    <t>Point Stormy</t>
  </si>
  <si>
    <t>0x93</t>
  </si>
  <si>
    <t>Ridge Island</t>
  </si>
  <si>
    <t>Mial's Hope</t>
  </si>
  <si>
    <t>0x95</t>
  </si>
  <si>
    <t>Bounty River</t>
  </si>
  <si>
    <t>Toil Ferry</t>
  </si>
  <si>
    <t>0x97</t>
  </si>
  <si>
    <t>Twin Isle</t>
  </si>
  <si>
    <t>0x98</t>
  </si>
  <si>
    <t>Dire Range</t>
  </si>
  <si>
    <t>0x99</t>
  </si>
  <si>
    <t>Egg Islands</t>
  </si>
  <si>
    <t>0x9A</t>
  </si>
  <si>
    <t>Terra Maw</t>
  </si>
  <si>
    <t>0x9B</t>
  </si>
  <si>
    <t>Lost Basin</t>
  </si>
  <si>
    <t>Rivers Four</t>
  </si>
  <si>
    <t>0x9D</t>
  </si>
  <si>
    <t>Ring Islands</t>
  </si>
  <si>
    <t>0x9E</t>
  </si>
  <si>
    <t>Last Mission</t>
  </si>
  <si>
    <t>0x9F</t>
  </si>
  <si>
    <t>Pay Dirt</t>
  </si>
  <si>
    <t>Long Road</t>
  </si>
  <si>
    <t>0xA1</t>
  </si>
  <si>
    <t>Nest Egg</t>
  </si>
  <si>
    <t>0xA2</t>
  </si>
  <si>
    <t>The Trident</t>
  </si>
  <si>
    <t>0xA3</t>
  </si>
  <si>
    <t>Banker Hills</t>
  </si>
  <si>
    <t>Missile Plains</t>
  </si>
  <si>
    <t>0xA5</t>
  </si>
  <si>
    <t>Stamp Islands</t>
  </si>
  <si>
    <t>0xA6</t>
  </si>
  <si>
    <t>Risky Vale</t>
  </si>
  <si>
    <t>0xA7</t>
  </si>
  <si>
    <t>The Ring</t>
  </si>
  <si>
    <t>Strong Land</t>
  </si>
  <si>
    <t>0xA9</t>
  </si>
  <si>
    <t>Little Lion</t>
  </si>
  <si>
    <t>0xAA</t>
  </si>
  <si>
    <t>Megalopolis</t>
  </si>
  <si>
    <t>0xAB</t>
  </si>
  <si>
    <t>Pipeline</t>
  </si>
  <si>
    <t>Rabbit Island</t>
  </si>
  <si>
    <t>0xAD</t>
  </si>
  <si>
    <t>Watery Downs</t>
  </si>
  <si>
    <t>0xAE</t>
  </si>
  <si>
    <t>Fortress Isle</t>
  </si>
  <si>
    <t>0xAF</t>
  </si>
  <si>
    <t>Treble Ridge</t>
  </si>
  <si>
    <t>Four Acres</t>
  </si>
  <si>
    <t>0xB1</t>
  </si>
  <si>
    <t>Final Battle</t>
  </si>
  <si>
    <t>0xB2</t>
  </si>
  <si>
    <t>Jelly Island</t>
  </si>
  <si>
    <t>0xB3</t>
  </si>
  <si>
    <t>Whiplash</t>
  </si>
  <si>
    <t>0xB4</t>
  </si>
  <si>
    <t>Silo Nation</t>
  </si>
  <si>
    <t>0xB5</t>
  </si>
  <si>
    <t>Risky Duo</t>
  </si>
  <si>
    <t>0xB6</t>
  </si>
  <si>
    <t>Helix Peninsula</t>
  </si>
  <si>
    <t>0xB7</t>
  </si>
  <si>
    <t>Jelly Island DS</t>
  </si>
  <si>
    <t>Whiplash DS</t>
  </si>
  <si>
    <t>0xB9</t>
  </si>
  <si>
    <t>Silo Nation DS</t>
  </si>
  <si>
    <t>0xBA</t>
  </si>
  <si>
    <t>Risky Duo DS</t>
  </si>
  <si>
    <t>0xBB</t>
  </si>
  <si>
    <t>Helix Peninsula DS</t>
  </si>
  <si>
    <t>Survival</t>
  </si>
  <si>
    <t>Red Heart</t>
  </si>
  <si>
    <t>Convoy Cape</t>
  </si>
  <si>
    <t>Silo Sweep</t>
  </si>
  <si>
    <t>Cannon Land</t>
  </si>
  <si>
    <t>Bad Pangaea</t>
  </si>
  <si>
    <t>0xC1</t>
  </si>
  <si>
    <t>Mr. Fix-It</t>
  </si>
  <si>
    <t>0xC2</t>
  </si>
  <si>
    <t>Frozen Pipes</t>
  </si>
  <si>
    <t>0xC3</t>
  </si>
  <si>
    <t>Chokepoint</t>
  </si>
  <si>
    <t>Aircraft Hunt</t>
  </si>
  <si>
    <t>0xC5</t>
  </si>
  <si>
    <t>Cape Splinter</t>
  </si>
  <si>
    <t>0xC6</t>
  </si>
  <si>
    <t>Rain of Pain</t>
  </si>
  <si>
    <t>0xC7</t>
  </si>
  <si>
    <t>Lake Fever</t>
  </si>
  <si>
    <t>Open Road</t>
  </si>
  <si>
    <t>0xC9</t>
  </si>
  <si>
    <t>Lone Wolf</t>
  </si>
  <si>
    <t>0xCA</t>
  </si>
  <si>
    <t>Fenced In</t>
  </si>
  <si>
    <t>0xCB</t>
  </si>
  <si>
    <t>Cold Shoulder</t>
  </si>
  <si>
    <t>The Middleman</t>
  </si>
  <si>
    <t>0xCD</t>
  </si>
  <si>
    <t>River Raid</t>
  </si>
  <si>
    <t>0xCE</t>
  </si>
  <si>
    <t>Last Stand</t>
  </si>
  <si>
    <t>0xCF</t>
  </si>
  <si>
    <t>Pursuit Plains</t>
  </si>
  <si>
    <t>0xD0</t>
  </si>
  <si>
    <t>Fog Hunter</t>
  </si>
  <si>
    <t>0xD1</t>
  </si>
  <si>
    <t>The Gooping</t>
  </si>
  <si>
    <t>0xD2</t>
  </si>
  <si>
    <t>Single File Isle</t>
  </si>
  <si>
    <t>0xD3</t>
  </si>
  <si>
    <t>Crowded Plain</t>
  </si>
  <si>
    <t>0xD4</t>
  </si>
  <si>
    <t>Narrow Road</t>
  </si>
  <si>
    <t>0xD5</t>
  </si>
  <si>
    <t>Crystal Field</t>
  </si>
  <si>
    <t xml:space="preserve">0xD6 </t>
  </si>
  <si>
    <t>Stealth Fight</t>
  </si>
  <si>
    <t>0xD7</t>
  </si>
  <si>
    <t>Tactical Decoy</t>
  </si>
  <si>
    <t>Grit's Gambit</t>
  </si>
  <si>
    <t>0xD9</t>
  </si>
  <si>
    <t>Forest Frenzy</t>
  </si>
  <si>
    <t>0xDA</t>
  </si>
  <si>
    <t>Triple Threat</t>
  </si>
  <si>
    <t>0xDB</t>
  </si>
  <si>
    <t>Five Mile Isle*</t>
  </si>
  <si>
    <t>The Swarm*</t>
  </si>
  <si>
    <t>Campaign</t>
  </si>
  <si>
    <t>0xE0/224</t>
  </si>
  <si>
    <t>0xE1/225</t>
  </si>
  <si>
    <t>The New Black</t>
  </si>
  <si>
    <t>0xE2/226</t>
  </si>
  <si>
    <t>Max Attacks</t>
  </si>
  <si>
    <t>0xE3/227</t>
  </si>
  <si>
    <t>Reclaim The Skies</t>
  </si>
  <si>
    <t>0xE4/228</t>
  </si>
  <si>
    <t>Neverending War</t>
  </si>
  <si>
    <t>0xE5/229</t>
  </si>
  <si>
    <t>The Ocean Blue</t>
  </si>
  <si>
    <t>0xE6/230</t>
  </si>
  <si>
    <t>Fog Rolls In</t>
  </si>
  <si>
    <t>0xE7/231</t>
  </si>
  <si>
    <t>Tag Battle</t>
  </si>
  <si>
    <t>0xE8/232</t>
  </si>
  <si>
    <t>Victory Or Death</t>
  </si>
  <si>
    <t>0xE9/233</t>
  </si>
  <si>
    <t>Black Boats Ahoy</t>
  </si>
  <si>
    <t>0xEA/234</t>
  </si>
  <si>
    <t>Lightning Strikes</t>
  </si>
  <si>
    <t>0xEB/235</t>
  </si>
  <si>
    <t>Frozen Fortress</t>
  </si>
  <si>
    <t>0xEC/236</t>
  </si>
  <si>
    <t>Verdant Hills</t>
  </si>
  <si>
    <t>0xED/237</t>
  </si>
  <si>
    <t>Snow Hunters</t>
  </si>
  <si>
    <t>0xEE/238</t>
  </si>
  <si>
    <t>Omens And Signs</t>
  </si>
  <si>
    <t>0xEF/239</t>
  </si>
  <si>
    <t>Into The Woods</t>
  </si>
  <si>
    <t>0xF0/240</t>
  </si>
  <si>
    <t>Muck Amok</t>
  </si>
  <si>
    <t>0xF1/241</t>
  </si>
  <si>
    <t>Healing Touch*</t>
  </si>
  <si>
    <t>0xF2/242</t>
  </si>
  <si>
    <t>Crystal Calamity</t>
  </si>
  <si>
    <t>0xF3/243</t>
  </si>
  <si>
    <t>Dark Ambition</t>
  </si>
  <si>
    <t>0xF4/244</t>
  </si>
  <si>
    <t>Pincer Strike</t>
  </si>
  <si>
    <t>0xF5/245</t>
  </si>
  <si>
    <t>Ring Of Fire</t>
  </si>
  <si>
    <t>0xF6/246</t>
  </si>
  <si>
    <t>Surrounded</t>
  </si>
  <si>
    <t>0xF7/247</t>
  </si>
  <si>
    <t>For The Future</t>
  </si>
  <si>
    <t>0xF8/248</t>
  </si>
  <si>
    <t>Means To An End</t>
  </si>
  <si>
    <t>0xF9/249</t>
  </si>
  <si>
    <t>The Long March</t>
  </si>
  <si>
    <t>0xFA/250</t>
  </si>
  <si>
    <t>Lash's Test</t>
  </si>
  <si>
    <t>0xFB/251</t>
  </si>
  <si>
    <t>Spiral Garden</t>
  </si>
  <si>
    <t>0xFC/252</t>
  </si>
  <si>
    <t>Victory Or Death DS</t>
  </si>
  <si>
    <t>0xFD/253</t>
  </si>
  <si>
    <t>Lightning Strikes DS</t>
  </si>
  <si>
    <t>0xFE/254</t>
  </si>
  <si>
    <t>Omens And Signs DS</t>
  </si>
  <si>
    <t>0xFF/255</t>
  </si>
  <si>
    <t>Rain Of Fire DS</t>
  </si>
  <si>
    <t>0x100/256</t>
  </si>
  <si>
    <t xml:space="preserve">Means To An End DS </t>
  </si>
  <si>
    <t>0xDD</t>
  </si>
  <si>
    <t>0xDE</t>
  </si>
  <si>
    <t>0xDF</t>
  </si>
  <si>
    <t>Survival 36</t>
  </si>
  <si>
    <t>Survival 34</t>
  </si>
  <si>
    <t>Survival 35</t>
  </si>
  <si>
    <t>Overlay</t>
  </si>
  <si>
    <t>0x5</t>
  </si>
  <si>
    <t>0x6</t>
  </si>
  <si>
    <t>0x7</t>
  </si>
  <si>
    <t>arm9</t>
  </si>
  <si>
    <t>0x2000000</t>
  </si>
  <si>
    <t>1FFDE80</t>
  </si>
  <si>
    <t>22AD560</t>
  </si>
  <si>
    <t>2350560</t>
  </si>
  <si>
    <t>23D8900</t>
  </si>
  <si>
    <t>contents</t>
  </si>
  <si>
    <t>top-screen code, secondary-importance gameplay-related code/data/graphics</t>
  </si>
  <si>
    <t>events: campaign, survival; code-related to events</t>
  </si>
  <si>
    <t>battle animation code and data</t>
  </si>
  <si>
    <t>boot-up/intro/title screen code and data</t>
  </si>
  <si>
    <t>combat mode code and data</t>
  </si>
  <si>
    <t>miscellaneous room code/data: Battle Maps, Sound Room, Wallpaper Room, etc.</t>
  </si>
  <si>
    <t>Design Room code and data</t>
  </si>
  <si>
    <t>new content (hacks)</t>
  </si>
  <si>
    <t>general custom routines/calculations (plus/Lau-only, ITCM area)</t>
  </si>
  <si>
    <t>notes</t>
  </si>
  <si>
    <t>Faction status</t>
  </si>
  <si>
    <t>(0 = Alive, 1 = Defeated)</t>
  </si>
  <si>
    <t>controller ID</t>
  </si>
  <si>
    <t>(0 = No Player, 1 = Human, 2 = AI)</t>
  </si>
  <si>
    <t>Active Player</t>
  </si>
  <si>
    <t>Tag Power Active</t>
  </si>
  <si>
    <t>(0x1 = First CO, 0x2 = Second CO)</t>
  </si>
  <si>
    <t>Front CO Power and Status</t>
  </si>
  <si>
    <t>Back CO and Power Status</t>
  </si>
  <si>
    <t>Timer (Time Survival)</t>
  </si>
  <si>
    <t xml:space="preserve"> 1 = 1frame (e.g. 60 frames per second)</t>
  </si>
  <si>
    <t>(0 = Inactive, 0x1+0x2 = Active)</t>
  </si>
  <si>
    <t>0x0 = all-out; 0x1 = attack; 0x2 = general; 0x3 = defense</t>
  </si>
  <si>
    <t>visual-only</t>
  </si>
  <si>
    <t>CO ID + times CO power used + power status + meter</t>
  </si>
  <si>
    <t>AA BB CC DD; AA = ID; BB = status/usage; CC = usage/meter; DD = meter</t>
  </si>
  <si>
    <t>current funds</t>
  </si>
  <si>
    <t>funds spent this match</t>
  </si>
  <si>
    <t>total income</t>
  </si>
  <si>
    <t>0x2 = Blue Moon</t>
  </si>
  <si>
    <t>-1 terrain star = 0xFFF6</t>
  </si>
  <si>
    <t>literal ID; otherwise interpreted as flags in plus</t>
  </si>
  <si>
    <t>0x0 = team A</t>
  </si>
  <si>
    <t>0x1 = Orange Star</t>
  </si>
  <si>
    <t>file address</t>
  </si>
  <si>
    <t>input (file)</t>
  </si>
  <si>
    <t>input (RAM)</t>
  </si>
  <si>
    <t>2000000</t>
  </si>
  <si>
    <t>base game code/routines and data</t>
  </si>
  <si>
    <t>base address</t>
  </si>
  <si>
    <t>1FAD0</t>
  </si>
  <si>
    <t>22CE670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</si>
</sst>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4"/>
      <color theme="1"/>
      <name val="Times New Roman"/>
    </font>
    <font>
      <sz val="14"/>
      <color rgb="FFFF0000"/>
      <name val="Times New Roman"/>
    </font>
    <font>
      <sz val="14"/>
      <color rgb="FF0000FF"/>
      <name val="Times New Roman"/>
    </font>
    <font>
      <sz val="14"/>
      <color rgb="FF38761D"/>
      <name val="Times New Roman"/>
    </font>
    <font>
      <sz val="14"/>
      <color rgb="FFBF9000"/>
      <name val="Times New Roman"/>
    </font>
    <font>
      <sz val="14"/>
      <color rgb="FFCC0000"/>
      <name val="Times New Roman"/>
    </font>
    <font>
      <sz val="14"/>
      <color rgb="FF1155CC"/>
      <name val="Times New Roman"/>
    </font>
    <font>
      <sz val="14"/>
      <color rgb="FF7F6000"/>
      <name val="Times New Roman"/>
    </font>
    <font>
      <sz val="14"/>
      <color rgb="FF4A86E8"/>
      <name val="Times New Roman"/>
    </font>
    <font>
      <sz val="14"/>
      <color rgb="FF93C47D"/>
      <name val="Times New Roman"/>
    </font>
    <font>
      <sz val="14"/>
      <color rgb="FFF1C232"/>
      <name val="Times New Roman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2"/>
      <color rgb="FF000000"/>
      <name val="Arial"/>
      <scheme val="minor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C00000"/>
      <name val="Times New Roman"/>
      <family val="1"/>
    </font>
    <font>
      <sz val="14"/>
      <color rgb="FF00B050"/>
      <name val="Times New Roman"/>
      <family val="1"/>
    </font>
    <font>
      <sz val="14"/>
      <color theme="6" tint="-0.249977111117893"/>
      <name val="Times New Roman"/>
      <family val="1"/>
    </font>
    <font>
      <sz val="14"/>
      <color theme="4" tint="-0.249977111117893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Arial"/>
      <family val="2"/>
      <scheme val="minor"/>
    </font>
    <font>
      <sz val="8"/>
      <name val="Arial"/>
      <family val="2"/>
      <scheme val="minor"/>
    </font>
    <font>
      <sz val="14"/>
      <color rgb="FF93C47D"/>
      <name val="Times New Roman"/>
      <family val="1"/>
    </font>
    <font>
      <sz val="14"/>
      <color rgb="FFF1C232"/>
      <name val="Times New Roman"/>
      <family val="1"/>
    </font>
    <font>
      <sz val="12"/>
      <color theme="1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1" fontId="13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49" fontId="16" fillId="0" borderId="0" xfId="0" applyNumberFormat="1" applyFont="1"/>
    <xf numFmtId="49" fontId="22" fillId="0" borderId="0" xfId="0" applyNumberFormat="1" applyFont="1"/>
    <xf numFmtId="0" fontId="22" fillId="0" borderId="0" xfId="0" applyFont="1"/>
    <xf numFmtId="49" fontId="1" fillId="0" borderId="0" xfId="0" applyNumberFormat="1" applyFont="1"/>
    <xf numFmtId="0" fontId="1" fillId="0" borderId="0" xfId="0" quotePrefix="1" applyFont="1"/>
    <xf numFmtId="0" fontId="23" fillId="0" borderId="0" xfId="0" quotePrefix="1" applyFont="1"/>
    <xf numFmtId="0" fontId="22" fillId="0" borderId="0" xfId="0" quotePrefix="1" applyFont="1"/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vertical="center"/>
    </xf>
    <xf numFmtId="0" fontId="27" fillId="0" borderId="0" xfId="0" applyFont="1"/>
    <xf numFmtId="0" fontId="1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C7" sqref="C7:C8"/>
    </sheetView>
  </sheetViews>
  <sheetFormatPr defaultColWidth="12.61328125" defaultRowHeight="15.75" customHeight="1" x14ac:dyDescent="0.3"/>
  <sheetData>
    <row r="1" spans="1:26" ht="15.7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4">
      <c r="A3" s="1"/>
      <c r="B3" s="1"/>
      <c r="C3" s="1"/>
      <c r="D3" s="1"/>
      <c r="E3" s="1"/>
      <c r="F3" s="1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4">
      <c r="A5" s="1" t="s">
        <v>2</v>
      </c>
      <c r="B5" s="1"/>
      <c r="C5" s="1" t="s">
        <v>3</v>
      </c>
      <c r="D5" s="1"/>
      <c r="E5" s="1"/>
      <c r="F5" s="1" t="s">
        <v>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4">
      <c r="A6" s="1" t="s">
        <v>5</v>
      </c>
      <c r="B6" s="1"/>
      <c r="C6" s="1" t="s">
        <v>6</v>
      </c>
      <c r="D6" s="1"/>
      <c r="E6" s="1"/>
      <c r="F6" s="1" t="s">
        <v>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1" t="s">
        <v>8</v>
      </c>
      <c r="B7" s="1"/>
      <c r="C7" s="1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4">
      <c r="A8" s="1" t="s">
        <v>10</v>
      </c>
      <c r="B8" s="1"/>
      <c r="C8" s="1" t="s">
        <v>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">
      <c r="A9" s="1" t="s">
        <v>12</v>
      </c>
      <c r="B9" s="1"/>
      <c r="C9" s="1" t="s">
        <v>13</v>
      </c>
      <c r="D9" s="1"/>
      <c r="E9" s="1"/>
      <c r="F9" s="1" t="s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4">
      <c r="A10" s="1" t="s">
        <v>15</v>
      </c>
      <c r="B10" s="1"/>
      <c r="C10" s="1" t="s">
        <v>16</v>
      </c>
      <c r="D10" s="1"/>
      <c r="E10" s="1"/>
      <c r="F10" s="1" t="s">
        <v>17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4">
      <c r="A11" s="1" t="s">
        <v>18</v>
      </c>
      <c r="B11" s="1"/>
      <c r="C11" s="1" t="s">
        <v>19</v>
      </c>
      <c r="D11" s="1"/>
      <c r="E11" s="1"/>
      <c r="F11" s="1" t="s">
        <v>20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4">
      <c r="A12" s="1" t="s">
        <v>21</v>
      </c>
      <c r="B12" s="1"/>
      <c r="C12" s="1" t="s">
        <v>22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4">
      <c r="A13" s="1" t="s">
        <v>23</v>
      </c>
      <c r="B13" s="1"/>
      <c r="C13" s="1" t="s">
        <v>24</v>
      </c>
      <c r="D13" s="1"/>
      <c r="E13" s="1"/>
      <c r="F13" s="1" t="s">
        <v>25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4">
      <c r="A14" s="1" t="s">
        <v>26</v>
      </c>
      <c r="B14" s="1"/>
      <c r="C14" s="1" t="s">
        <v>27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4">
      <c r="A15" s="1" t="s">
        <v>28</v>
      </c>
      <c r="B15" s="1"/>
      <c r="C15" s="1" t="s">
        <v>29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4">
      <c r="A16" s="1" t="s">
        <v>30</v>
      </c>
      <c r="B16" s="1"/>
      <c r="C16" s="1" t="s">
        <v>31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4">
      <c r="A17" s="1" t="s">
        <v>32</v>
      </c>
      <c r="B17" s="1"/>
      <c r="C17" s="1" t="s">
        <v>33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4">
      <c r="A18" s="1" t="s">
        <v>34</v>
      </c>
      <c r="B18" s="1"/>
      <c r="C18" s="1" t="s">
        <v>35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4">
      <c r="A19" s="1" t="s">
        <v>36</v>
      </c>
      <c r="B19" s="1"/>
      <c r="C19" s="1" t="s">
        <v>37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4">
      <c r="A20" s="1" t="s">
        <v>38</v>
      </c>
      <c r="B20" s="1"/>
      <c r="C20" s="1" t="s">
        <v>39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">
      <c r="A21" s="1" t="s">
        <v>40</v>
      </c>
      <c r="B21" s="1"/>
      <c r="C21" s="1" t="s">
        <v>41</v>
      </c>
      <c r="D21" s="1"/>
      <c r="E21" s="1"/>
      <c r="F21" s="1"/>
      <c r="G21" s="1" t="s">
        <v>42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">
      <c r="A22" s="1" t="s">
        <v>43</v>
      </c>
      <c r="B22" s="1"/>
      <c r="C22" s="1" t="s">
        <v>44</v>
      </c>
      <c r="D22" s="1"/>
      <c r="E22" s="1"/>
      <c r="F22" s="1"/>
      <c r="G22" s="1" t="s">
        <v>45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">
      <c r="A23" s="1" t="s">
        <v>46</v>
      </c>
      <c r="B23" s="1"/>
      <c r="C23" s="1" t="s">
        <v>47</v>
      </c>
      <c r="D23" s="1"/>
      <c r="E23" s="1"/>
      <c r="F23" s="1"/>
      <c r="G23" s="1" t="s">
        <v>48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">
      <c r="A24" s="1" t="s">
        <v>49</v>
      </c>
      <c r="B24" s="1"/>
      <c r="C24" s="1" t="s">
        <v>50</v>
      </c>
      <c r="D24" s="1"/>
      <c r="E24" s="1"/>
      <c r="F24" s="1"/>
      <c r="G24" s="1" t="s">
        <v>51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">
      <c r="A25" s="1" t="s">
        <v>52</v>
      </c>
      <c r="B25" s="1"/>
      <c r="C25" s="1" t="s">
        <v>53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">
      <c r="A26" s="1" t="s">
        <v>54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600000000000001" x14ac:dyDescent="0.4">
      <c r="A27" s="1" t="s">
        <v>55</v>
      </c>
      <c r="B27" s="1"/>
      <c r="C27" s="1"/>
      <c r="D27" s="1" t="s">
        <v>56</v>
      </c>
      <c r="E27" s="1"/>
      <c r="F27" s="1" t="s">
        <v>57</v>
      </c>
      <c r="G27" s="1" t="s">
        <v>58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600000000000001" x14ac:dyDescent="0.4">
      <c r="A28" s="1" t="s">
        <v>59</v>
      </c>
      <c r="B28" s="1"/>
      <c r="C28" s="1"/>
      <c r="D28" s="1" t="s">
        <v>60</v>
      </c>
      <c r="E28" s="1"/>
      <c r="F28" s="1" t="s">
        <v>61</v>
      </c>
      <c r="G28" s="1" t="s">
        <v>62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600000000000001" x14ac:dyDescent="0.4">
      <c r="A29" s="1" t="s">
        <v>63</v>
      </c>
      <c r="B29" s="1"/>
      <c r="C29" s="1"/>
      <c r="D29" s="1" t="s">
        <v>64</v>
      </c>
      <c r="E29" s="1"/>
      <c r="F29" s="1" t="s">
        <v>65</v>
      </c>
      <c r="G29" s="1" t="s">
        <v>66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600000000000001" x14ac:dyDescent="0.4">
      <c r="A30" s="1" t="s">
        <v>67</v>
      </c>
      <c r="B30" s="1"/>
      <c r="C30" s="1"/>
      <c r="D30" s="1" t="s">
        <v>68</v>
      </c>
      <c r="E30" s="1"/>
      <c r="F30" s="1" t="s">
        <v>69</v>
      </c>
      <c r="G30" s="1" t="s">
        <v>70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600000000000001" x14ac:dyDescent="0.4">
      <c r="A31" s="1" t="s">
        <v>71</v>
      </c>
      <c r="B31" s="1"/>
      <c r="C31" s="1"/>
      <c r="D31" s="1" t="s">
        <v>72</v>
      </c>
      <c r="E31" s="1"/>
      <c r="F31" s="1" t="s">
        <v>73</v>
      </c>
      <c r="G31" s="1" t="s">
        <v>74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600000000000001" x14ac:dyDescent="0.4">
      <c r="A32" s="1"/>
      <c r="B32" s="1"/>
      <c r="C32" s="1"/>
      <c r="D32" s="1" t="s">
        <v>75</v>
      </c>
      <c r="E32" s="1"/>
      <c r="F32" s="1" t="s">
        <v>76</v>
      </c>
      <c r="G32" s="1" t="s">
        <v>77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600000000000001" x14ac:dyDescent="0.4">
      <c r="A33" s="1"/>
      <c r="B33" s="1"/>
      <c r="C33" s="1"/>
      <c r="D33" s="1" t="s">
        <v>78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600000000000001" x14ac:dyDescent="0.4">
      <c r="A34" s="1"/>
      <c r="B34" s="1"/>
      <c r="C34" s="1"/>
      <c r="D34" s="1" t="s">
        <v>79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600000000000001" x14ac:dyDescent="0.4">
      <c r="A35" s="1"/>
      <c r="B35" s="1"/>
      <c r="C35" s="1"/>
      <c r="D35" s="1" t="s">
        <v>80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600000000000001" x14ac:dyDescent="0.4">
      <c r="A36" s="1"/>
      <c r="B36" s="1"/>
      <c r="C36" s="1"/>
      <c r="D36" s="1" t="s">
        <v>81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600000000000001" x14ac:dyDescent="0.4">
      <c r="A37" s="1"/>
      <c r="B37" s="1"/>
      <c r="C37" s="1"/>
      <c r="D37" s="1" t="s">
        <v>82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600000000000001" x14ac:dyDescent="0.4">
      <c r="A38" s="1"/>
      <c r="B38" s="1"/>
      <c r="C38" s="1"/>
      <c r="D38" s="1" t="s">
        <v>83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600000000000001" x14ac:dyDescent="0.4">
      <c r="A39" s="1"/>
      <c r="B39" s="1"/>
      <c r="C39" s="1"/>
      <c r="D39" s="1" t="s">
        <v>84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600000000000001" x14ac:dyDescent="0.4">
      <c r="A40" s="1"/>
      <c r="B40" s="1"/>
      <c r="C40" s="1"/>
      <c r="D40" s="1" t="s">
        <v>85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600000000000001" x14ac:dyDescent="0.4">
      <c r="A41" s="1"/>
      <c r="B41" s="1"/>
      <c r="C41" s="1"/>
      <c r="D41" s="1" t="s">
        <v>86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600000000000001" x14ac:dyDescent="0.4">
      <c r="A42" s="1"/>
      <c r="B42" s="1"/>
      <c r="C42" s="1"/>
      <c r="D42" s="1" t="s">
        <v>87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600000000000001" x14ac:dyDescent="0.4">
      <c r="A43" s="1"/>
      <c r="B43" s="1"/>
      <c r="C43" s="1"/>
      <c r="D43" s="1" t="s">
        <v>88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600000000000001" x14ac:dyDescent="0.4">
      <c r="A44" s="1"/>
      <c r="B44" s="1"/>
      <c r="C44" s="1"/>
      <c r="D44" s="1" t="s">
        <v>89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600000000000001" x14ac:dyDescent="0.4">
      <c r="A45" s="1"/>
      <c r="B45" s="1"/>
      <c r="C45" s="1"/>
      <c r="D45" s="1" t="s">
        <v>90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600000000000001" x14ac:dyDescent="0.4">
      <c r="A46" s="1"/>
      <c r="B46" s="1"/>
      <c r="C46" s="1"/>
      <c r="D46" s="1" t="s">
        <v>91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600000000000001" x14ac:dyDescent="0.4">
      <c r="A47" s="1"/>
      <c r="B47" s="1"/>
      <c r="C47" s="1"/>
      <c r="D47" s="1" t="s">
        <v>92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600000000000001" x14ac:dyDescent="0.4">
      <c r="A48" s="1"/>
      <c r="B48" s="1"/>
      <c r="C48" s="1"/>
      <c r="D48" s="1" t="s">
        <v>93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600000000000001" x14ac:dyDescent="0.4">
      <c r="A49" s="1"/>
      <c r="B49" s="1"/>
      <c r="C49" s="1"/>
      <c r="D49" s="1" t="s">
        <v>94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600000000000001" x14ac:dyDescent="0.4">
      <c r="A50" s="1"/>
      <c r="B50" s="1"/>
      <c r="C50" s="1"/>
      <c r="D50" s="1" t="s">
        <v>95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600000000000001" x14ac:dyDescent="0.4">
      <c r="A51" s="1"/>
      <c r="B51" s="1"/>
      <c r="C51" s="1"/>
      <c r="D51" s="1" t="s">
        <v>96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600000000000001" x14ac:dyDescent="0.4">
      <c r="A52" s="1"/>
      <c r="B52" s="1"/>
      <c r="C52" s="1"/>
      <c r="D52" s="1" t="s">
        <v>97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600000000000001" x14ac:dyDescent="0.4">
      <c r="A53" s="1"/>
      <c r="B53" s="1"/>
      <c r="C53" s="1"/>
      <c r="D53" s="1" t="s">
        <v>98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600000000000001" x14ac:dyDescent="0.4">
      <c r="A54" s="1"/>
      <c r="B54" s="1"/>
      <c r="C54" s="1"/>
      <c r="D54" s="1" t="s">
        <v>99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600000000000001" x14ac:dyDescent="0.4">
      <c r="A55" s="1"/>
      <c r="B55" s="1"/>
      <c r="C55" s="1"/>
      <c r="D55" s="1" t="s">
        <v>100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600000000000001" x14ac:dyDescent="0.4">
      <c r="A56" s="1"/>
      <c r="B56" s="1"/>
      <c r="C56" s="1"/>
      <c r="D56" s="1" t="s">
        <v>101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600000000000001" x14ac:dyDescent="0.4">
      <c r="A57" s="1"/>
      <c r="B57" s="1"/>
      <c r="C57" s="1"/>
      <c r="D57" s="1" t="s">
        <v>102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600000000000001" x14ac:dyDescent="0.4">
      <c r="A58" s="1"/>
      <c r="B58" s="1"/>
      <c r="C58" s="1"/>
      <c r="D58" s="1" t="s">
        <v>103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60000000000000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60000000000000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60000000000000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60000000000000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60000000000000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60000000000000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60000000000000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60000000000000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60000000000000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60000000000000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60000000000000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60000000000000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60000000000000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60000000000000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60000000000000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60000000000000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60000000000000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60000000000000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60000000000000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60000000000000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60000000000000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60000000000000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60000000000000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60000000000000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60000000000000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60000000000000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60000000000000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60000000000000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60000000000000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60000000000000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60000000000000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60000000000000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60000000000000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60000000000000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60000000000000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60000000000000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60000000000000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60000000000000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60000000000000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60000000000000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60000000000000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60000000000000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60000000000000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60000000000000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60000000000000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60000000000000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60000000000000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60000000000000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60000000000000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60000000000000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60000000000000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60000000000000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60000000000000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60000000000000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60000000000000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60000000000000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60000000000000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60000000000000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60000000000000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60000000000000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60000000000000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60000000000000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60000000000000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60000000000000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60000000000000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60000000000000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60000000000000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60000000000000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60000000000000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60000000000000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60000000000000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60000000000000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60000000000000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60000000000000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60000000000000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60000000000000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60000000000000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60000000000000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60000000000000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60000000000000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60000000000000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60000000000000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60000000000000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60000000000000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60000000000000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60000000000000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60000000000000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60000000000000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60000000000000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60000000000000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60000000000000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60000000000000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60000000000000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60000000000000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60000000000000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60000000000000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60000000000000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60000000000000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60000000000000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60000000000000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60000000000000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60000000000000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60000000000000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60000000000000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60000000000000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60000000000000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60000000000000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60000000000000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60000000000000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60000000000000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60000000000000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60000000000000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60000000000000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60000000000000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60000000000000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60000000000000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60000000000000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60000000000000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60000000000000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60000000000000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60000000000000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60000000000000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60000000000000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60000000000000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60000000000000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60000000000000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60000000000000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60000000000000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60000000000000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60000000000000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60000000000000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60000000000000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60000000000000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60000000000000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60000000000000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60000000000000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60000000000000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60000000000000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60000000000000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60000000000000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60000000000000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60000000000000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60000000000000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60000000000000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60000000000000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60000000000000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60000000000000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60000000000000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60000000000000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60000000000000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60000000000000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60000000000000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60000000000000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60000000000000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60000000000000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60000000000000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60000000000000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60000000000000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60000000000000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60000000000000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60000000000000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60000000000000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60000000000000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60000000000000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60000000000000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60000000000000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60000000000000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60000000000000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60000000000000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60000000000000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60000000000000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60000000000000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60000000000000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60000000000000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60000000000000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60000000000000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60000000000000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60000000000000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60000000000000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60000000000000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60000000000000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60000000000000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60000000000000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60000000000000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60000000000000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60000000000000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60000000000000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60000000000000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60000000000000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60000000000000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60000000000000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60000000000000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60000000000000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60000000000000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60000000000000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60000000000000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60000000000000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60000000000000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60000000000000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60000000000000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60000000000000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60000000000000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60000000000000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60000000000000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60000000000000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60000000000000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60000000000000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60000000000000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60000000000000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60000000000000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60000000000000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60000000000000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60000000000000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60000000000000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60000000000000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60000000000000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60000000000000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60000000000000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60000000000000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60000000000000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60000000000000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60000000000000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60000000000000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60000000000000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60000000000000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60000000000000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60000000000000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60000000000000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60000000000000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60000000000000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60000000000000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60000000000000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60000000000000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60000000000000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60000000000000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60000000000000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60000000000000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60000000000000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60000000000000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60000000000000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60000000000000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60000000000000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60000000000000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60000000000000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60000000000000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60000000000000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60000000000000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60000000000000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60000000000000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60000000000000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60000000000000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60000000000000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60000000000000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60000000000000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60000000000000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60000000000000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60000000000000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60000000000000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60000000000000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60000000000000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60000000000000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60000000000000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60000000000000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60000000000000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60000000000000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60000000000000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60000000000000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60000000000000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60000000000000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60000000000000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60000000000000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60000000000000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60000000000000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60000000000000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60000000000000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60000000000000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60000000000000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60000000000000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60000000000000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60000000000000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60000000000000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60000000000000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60000000000000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60000000000000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60000000000000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60000000000000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60000000000000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60000000000000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60000000000000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60000000000000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60000000000000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60000000000000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60000000000000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60000000000000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60000000000000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60000000000000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60000000000000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60000000000000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60000000000000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60000000000000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60000000000000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60000000000000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60000000000000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60000000000000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60000000000000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60000000000000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60000000000000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60000000000000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60000000000000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60000000000000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60000000000000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60000000000000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60000000000000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60000000000000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60000000000000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60000000000000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60000000000000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60000000000000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60000000000000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60000000000000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60000000000000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60000000000000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60000000000000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60000000000000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60000000000000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60000000000000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60000000000000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60000000000000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60000000000000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60000000000000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60000000000000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60000000000000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60000000000000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60000000000000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60000000000000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60000000000000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60000000000000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60000000000000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60000000000000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60000000000000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60000000000000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60000000000000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60000000000000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60000000000000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60000000000000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60000000000000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60000000000000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60000000000000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60000000000000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60000000000000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60000000000000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60000000000000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60000000000000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60000000000000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60000000000000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60000000000000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60000000000000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60000000000000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60000000000000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60000000000000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60000000000000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60000000000000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60000000000000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60000000000000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60000000000000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60000000000000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60000000000000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60000000000000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60000000000000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60000000000000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60000000000000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60000000000000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60000000000000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60000000000000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60000000000000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60000000000000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60000000000000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60000000000000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60000000000000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60000000000000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60000000000000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60000000000000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60000000000000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60000000000000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60000000000000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60000000000000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60000000000000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60000000000000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60000000000000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60000000000000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60000000000000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60000000000000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60000000000000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60000000000000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60000000000000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60000000000000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60000000000000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60000000000000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60000000000000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60000000000000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60000000000000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60000000000000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60000000000000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60000000000000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60000000000000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60000000000000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60000000000000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60000000000000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60000000000000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60000000000000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60000000000000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60000000000000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60000000000000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60000000000000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60000000000000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60000000000000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60000000000000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60000000000000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60000000000000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60000000000000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60000000000000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60000000000000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60000000000000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60000000000000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60000000000000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60000000000000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60000000000000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60000000000000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60000000000000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60000000000000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60000000000000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60000000000000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60000000000000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60000000000000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60000000000000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60000000000000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60000000000000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60000000000000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60000000000000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60000000000000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60000000000000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60000000000000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60000000000000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60000000000000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60000000000000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60000000000000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60000000000000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60000000000000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60000000000000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60000000000000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60000000000000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60000000000000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60000000000000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60000000000000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60000000000000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60000000000000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60000000000000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60000000000000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60000000000000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60000000000000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60000000000000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60000000000000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60000000000000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60000000000000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60000000000000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60000000000000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60000000000000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60000000000000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60000000000000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60000000000000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60000000000000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60000000000000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60000000000000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60000000000000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60000000000000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60000000000000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60000000000000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60000000000000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60000000000000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60000000000000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60000000000000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60000000000000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60000000000000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60000000000000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60000000000000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60000000000000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60000000000000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60000000000000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60000000000000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60000000000000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60000000000000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60000000000000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60000000000000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60000000000000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60000000000000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60000000000000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60000000000000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60000000000000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60000000000000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60000000000000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60000000000000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60000000000000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60000000000000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60000000000000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60000000000000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60000000000000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60000000000000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60000000000000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60000000000000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60000000000000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60000000000000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60000000000000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60000000000000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60000000000000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60000000000000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60000000000000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60000000000000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60000000000000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60000000000000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60000000000000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60000000000000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60000000000000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60000000000000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60000000000000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60000000000000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60000000000000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60000000000000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60000000000000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60000000000000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60000000000000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60000000000000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60000000000000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60000000000000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60000000000000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60000000000000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60000000000000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60000000000000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60000000000000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60000000000000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60000000000000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60000000000000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60000000000000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60000000000000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60000000000000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60000000000000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60000000000000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60000000000000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60000000000000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60000000000000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60000000000000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60000000000000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60000000000000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60000000000000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60000000000000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60000000000000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60000000000000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60000000000000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60000000000000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60000000000000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60000000000000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60000000000000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60000000000000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60000000000000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60000000000000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60000000000000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60000000000000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60000000000000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60000000000000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60000000000000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60000000000000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60000000000000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60000000000000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60000000000000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60000000000000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60000000000000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60000000000000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60000000000000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60000000000000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60000000000000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60000000000000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60000000000000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60000000000000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60000000000000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60000000000000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60000000000000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60000000000000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60000000000000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60000000000000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60000000000000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60000000000000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60000000000000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60000000000000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60000000000000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60000000000000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60000000000000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60000000000000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60000000000000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60000000000000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60000000000000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60000000000000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60000000000000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60000000000000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60000000000000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60000000000000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60000000000000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60000000000000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60000000000000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60000000000000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60000000000000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60000000000000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60000000000000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60000000000000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60000000000000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60000000000000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60000000000000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60000000000000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60000000000000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60000000000000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60000000000000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60000000000000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60000000000000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60000000000000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60000000000000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60000000000000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60000000000000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60000000000000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60000000000000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60000000000000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60000000000000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60000000000000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60000000000000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60000000000000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60000000000000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60000000000000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60000000000000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60000000000000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60000000000000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60000000000000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60000000000000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60000000000000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60000000000000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60000000000000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60000000000000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60000000000000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60000000000000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60000000000000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60000000000000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60000000000000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60000000000000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60000000000000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60000000000000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60000000000000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60000000000000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60000000000000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60000000000000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60000000000000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60000000000000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60000000000000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60000000000000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60000000000000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60000000000000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60000000000000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60000000000000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60000000000000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60000000000000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60000000000000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60000000000000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60000000000000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60000000000000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60000000000000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60000000000000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60000000000000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60000000000000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60000000000000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60000000000000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60000000000000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60000000000000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60000000000000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60000000000000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60000000000000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60000000000000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60000000000000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60000000000000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60000000000000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60000000000000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60000000000000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60000000000000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60000000000000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60000000000000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60000000000000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60000000000000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60000000000000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60000000000000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60000000000000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60000000000000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60000000000000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60000000000000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60000000000000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60000000000000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60000000000000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60000000000000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60000000000000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60000000000000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60000000000000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60000000000000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60000000000000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60000000000000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60000000000000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60000000000000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60000000000000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60000000000000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60000000000000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60000000000000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60000000000000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60000000000000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60000000000000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60000000000000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60000000000000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60000000000000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60000000000000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60000000000000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60000000000000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60000000000000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60000000000000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60000000000000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60000000000000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60000000000000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60000000000000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60000000000000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60000000000000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60000000000000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60000000000000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60000000000000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60000000000000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60000000000000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60000000000000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60000000000000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60000000000000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60000000000000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60000000000000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60000000000000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60000000000000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60000000000000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60000000000000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60000000000000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60000000000000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60000000000000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60000000000000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60000000000000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60000000000000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60000000000000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60000000000000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60000000000000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60000000000000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60000000000000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60000000000000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60000000000000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60000000000000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60000000000000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60000000000000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60000000000000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60000000000000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60000000000000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60000000000000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60000000000000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60000000000000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60000000000000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60000000000000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60000000000000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60000000000000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60000000000000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60000000000000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60000000000000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60000000000000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60000000000000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60000000000000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60000000000000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60000000000000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60000000000000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60000000000000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60000000000000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60000000000000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60000000000000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60000000000000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60000000000000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60000000000000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60000000000000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60000000000000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60000000000000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60000000000000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60000000000000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60000000000000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60000000000000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60000000000000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60000000000000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60000000000000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60000000000000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60000000000000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60000000000000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60000000000000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60000000000000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60000000000000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60000000000000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60000000000000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60000000000000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60000000000000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60000000000000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60000000000000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60000000000000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60000000000000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60000000000000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60000000000000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60000000000000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60000000000000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60000000000000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60000000000000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60000000000000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60000000000000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60000000000000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60000000000000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60000000000000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60000000000000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60000000000000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60000000000000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60000000000000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60000000000000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60000000000000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60000000000000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60000000000000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60000000000000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60000000000000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60000000000000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60000000000000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60000000000000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60000000000000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60000000000000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60000000000000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60000000000000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60000000000000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60000000000000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60000000000000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60000000000000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60000000000000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60000000000000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60000000000000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60000000000000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60000000000000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60000000000000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60000000000000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60000000000000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60000000000000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60000000000000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60000000000000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60000000000000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60000000000000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60000000000000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60000000000000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60000000000000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60000000000000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60000000000000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60000000000000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60000000000000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60000000000000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60000000000000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60000000000000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60000000000000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60000000000000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60000000000000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60000000000000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60000000000000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60000000000000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60000000000000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60000000000000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60000000000000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60000000000000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60000000000000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60000000000000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60000000000000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60000000000000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60000000000000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60000000000000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60000000000000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60000000000000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60000000000000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60000000000000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60000000000000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60000000000000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60000000000000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60000000000000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60000000000000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60000000000000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60000000000000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60000000000000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60000000000000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60000000000000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60000000000000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60000000000000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60000000000000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60000000000000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60000000000000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60000000000000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60000000000000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60000000000000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60000000000000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60000000000000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60000000000000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60000000000000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60000000000000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60000000000000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60000000000000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60000000000000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60000000000000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60000000000000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60000000000000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60000000000000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60000000000000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60000000000000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60000000000000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60000000000000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60000000000000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60000000000000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60000000000000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60000000000000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60000000000000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60000000000000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60000000000000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60000000000000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60000000000000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60000000000000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60000000000000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60000000000000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60000000000000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60000000000000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60000000000000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60000000000000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60000000000000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60000000000000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60000000000000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60000000000000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60000000000000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60000000000000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60000000000000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zoomScale="115" zoomScaleNormal="115" workbookViewId="0">
      <pane xSplit="2" topLeftCell="C1" activePane="topRight" state="frozen"/>
      <selection pane="topRight" activeCell="D2" sqref="D2"/>
    </sheetView>
  </sheetViews>
  <sheetFormatPr defaultColWidth="12.61328125" defaultRowHeight="15.75" customHeight="1" x14ac:dyDescent="0.3"/>
  <cols>
    <col min="1" max="1" width="7.765625" customWidth="1"/>
    <col min="2" max="2" width="42.15234375" customWidth="1"/>
    <col min="7" max="10" width="14.3828125" customWidth="1"/>
    <col min="12" max="12" width="60.4609375" customWidth="1"/>
  </cols>
  <sheetData>
    <row r="1" spans="1:26" ht="15.75" customHeight="1" x14ac:dyDescent="0.45">
      <c r="A1" s="2" t="s">
        <v>104</v>
      </c>
      <c r="B1" s="2" t="s">
        <v>105</v>
      </c>
      <c r="C1" s="3" t="s">
        <v>106</v>
      </c>
      <c r="D1" s="4" t="s">
        <v>107</v>
      </c>
      <c r="E1" s="5" t="s">
        <v>108</v>
      </c>
      <c r="F1" s="6" t="s">
        <v>109</v>
      </c>
      <c r="G1" s="7" t="s">
        <v>110</v>
      </c>
      <c r="H1" s="8" t="s">
        <v>111</v>
      </c>
      <c r="I1" s="5" t="s">
        <v>112</v>
      </c>
      <c r="J1" s="9" t="s">
        <v>113</v>
      </c>
      <c r="K1" s="2"/>
      <c r="L1" s="18" t="s">
        <v>2032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5">
      <c r="A2" s="2" t="s">
        <v>114</v>
      </c>
      <c r="B2" s="18" t="s">
        <v>2049</v>
      </c>
      <c r="C2" s="3">
        <v>2189300</v>
      </c>
      <c r="D2" s="4" t="str">
        <f t="shared" ref="D2:F2" si="0">DEC2HEX(HEX2DEC(C2)+152,7)</f>
        <v>2189398</v>
      </c>
      <c r="E2" s="5" t="str">
        <f t="shared" si="0"/>
        <v>2189430</v>
      </c>
      <c r="F2" s="6" t="str">
        <f t="shared" si="0"/>
        <v>21894C8</v>
      </c>
      <c r="G2" s="7" t="s">
        <v>115</v>
      </c>
      <c r="H2" s="8" t="s">
        <v>116</v>
      </c>
      <c r="I2" s="5" t="s">
        <v>117</v>
      </c>
      <c r="J2" s="9" t="s">
        <v>118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5">
      <c r="A3" s="2" t="s">
        <v>119</v>
      </c>
      <c r="B3" s="18" t="s">
        <v>2050</v>
      </c>
      <c r="C3" s="3">
        <v>2189304</v>
      </c>
      <c r="D3" s="4" t="str">
        <f t="shared" ref="D3:F3" si="1">DEC2HEX(HEX2DEC(C3)+152,7)</f>
        <v>218939C</v>
      </c>
      <c r="E3" s="5" t="str">
        <f t="shared" si="1"/>
        <v>2189434</v>
      </c>
      <c r="F3" s="6" t="str">
        <f t="shared" si="1"/>
        <v>21894CC</v>
      </c>
      <c r="G3" s="7" t="s">
        <v>120</v>
      </c>
      <c r="H3" s="8" t="str">
        <f>DEC2HEX(HEX2DEC(H2)+4,7)</f>
        <v>218F56C</v>
      </c>
      <c r="I3" s="5" t="s">
        <v>121</v>
      </c>
      <c r="J3" s="9" t="s">
        <v>122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5">
      <c r="A4" s="2" t="s">
        <v>123</v>
      </c>
      <c r="B4" s="18" t="s">
        <v>2051</v>
      </c>
      <c r="C4" s="3">
        <v>2189308</v>
      </c>
      <c r="D4" s="4" t="str">
        <f t="shared" ref="D4:F4" si="2">DEC2HEX(HEX2DEC(C4)+152,7)</f>
        <v>21893A0</v>
      </c>
      <c r="E4" s="5" t="str">
        <f t="shared" si="2"/>
        <v>2189438</v>
      </c>
      <c r="F4" s="6" t="str">
        <f t="shared" si="2"/>
        <v>21894D0</v>
      </c>
      <c r="G4" s="7" t="str">
        <f t="shared" ref="G4:J4" si="3">DEC2HEX(HEX2DEC(C4)+25040,7)</f>
        <v>218F4D8</v>
      </c>
      <c r="H4" s="8" t="str">
        <f t="shared" si="3"/>
        <v>218F570</v>
      </c>
      <c r="I4" s="5" t="str">
        <f t="shared" si="3"/>
        <v>218F608</v>
      </c>
      <c r="J4" s="9" t="str">
        <f t="shared" si="3"/>
        <v>218F6A0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5">
      <c r="A5" s="2" t="s">
        <v>124</v>
      </c>
      <c r="B5" s="2" t="s">
        <v>125</v>
      </c>
      <c r="C5" s="19" t="s">
        <v>467</v>
      </c>
      <c r="D5" s="4" t="str">
        <f t="shared" ref="D5:F5" si="4">DEC2HEX(HEX2DEC(C5)+152,7)</f>
        <v>21893A4</v>
      </c>
      <c r="E5" s="5" t="str">
        <f t="shared" si="4"/>
        <v>218943C</v>
      </c>
      <c r="F5" s="6" t="str">
        <f t="shared" si="4"/>
        <v>21894D4</v>
      </c>
      <c r="G5" s="7" t="str">
        <f t="shared" ref="G5:J5" si="5">DEC2HEX(HEX2DEC(C5)+25040,7)</f>
        <v>218F4DC</v>
      </c>
      <c r="H5" s="8" t="str">
        <f t="shared" si="5"/>
        <v>218F574</v>
      </c>
      <c r="I5" s="5" t="str">
        <f t="shared" si="5"/>
        <v>218F60C</v>
      </c>
      <c r="J5" s="9" t="str">
        <f t="shared" si="5"/>
        <v>218F6A4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5">
      <c r="A6" s="2" t="s">
        <v>126</v>
      </c>
      <c r="B6" s="2" t="s">
        <v>127</v>
      </c>
      <c r="C6" s="3">
        <v>2189310</v>
      </c>
      <c r="D6" s="4" t="str">
        <f t="shared" ref="D6:F6" si="6">DEC2HEX(HEX2DEC(C6)+152,7)</f>
        <v>21893A8</v>
      </c>
      <c r="E6" s="5" t="str">
        <f t="shared" si="6"/>
        <v>2189440</v>
      </c>
      <c r="F6" s="6" t="str">
        <f t="shared" si="6"/>
        <v>21894D8</v>
      </c>
      <c r="G6" s="7" t="str">
        <f t="shared" ref="G6:J6" si="7">DEC2HEX(HEX2DEC(C6)+25040,7)</f>
        <v>218F4E0</v>
      </c>
      <c r="H6" s="8" t="str">
        <f t="shared" si="7"/>
        <v>218F578</v>
      </c>
      <c r="I6" s="5" t="str">
        <f t="shared" si="7"/>
        <v>218F610</v>
      </c>
      <c r="J6" s="9" t="str">
        <f t="shared" si="7"/>
        <v>218F6A8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5">
      <c r="A7" s="2" t="s">
        <v>128</v>
      </c>
      <c r="B7" s="2" t="s">
        <v>129</v>
      </c>
      <c r="C7" s="3">
        <v>2189311</v>
      </c>
      <c r="D7" s="4" t="str">
        <f t="shared" ref="D7:F7" si="8">DEC2HEX(HEX2DEC(C7)+152,7)</f>
        <v>21893A9</v>
      </c>
      <c r="E7" s="5" t="str">
        <f t="shared" si="8"/>
        <v>2189441</v>
      </c>
      <c r="F7" s="6" t="str">
        <f t="shared" si="8"/>
        <v>21894D9</v>
      </c>
      <c r="G7" s="7" t="str">
        <f t="shared" ref="G7:J7" si="9">DEC2HEX(HEX2DEC(C7)+25040,7)</f>
        <v>218F4E1</v>
      </c>
      <c r="H7" s="8" t="str">
        <f t="shared" si="9"/>
        <v>218F579</v>
      </c>
      <c r="I7" s="5" t="str">
        <f t="shared" si="9"/>
        <v>218F611</v>
      </c>
      <c r="J7" s="9" t="str">
        <f t="shared" si="9"/>
        <v>218F6A9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5">
      <c r="A8" s="2" t="s">
        <v>130</v>
      </c>
      <c r="B8" s="2" t="s">
        <v>131</v>
      </c>
      <c r="C8" s="3">
        <v>2189312</v>
      </c>
      <c r="D8" s="4" t="str">
        <f t="shared" ref="D8:F8" si="10">DEC2HEX(HEX2DEC(C8)+152,7)</f>
        <v>21893AA</v>
      </c>
      <c r="E8" s="5" t="str">
        <f t="shared" si="10"/>
        <v>2189442</v>
      </c>
      <c r="F8" s="6" t="str">
        <f t="shared" si="10"/>
        <v>21894DA</v>
      </c>
      <c r="G8" s="7" t="str">
        <f t="shared" ref="G8:J8" si="11">DEC2HEX(HEX2DEC(C8)+25040,7)</f>
        <v>218F4E2</v>
      </c>
      <c r="H8" s="8" t="str">
        <f t="shared" si="11"/>
        <v>218F57A</v>
      </c>
      <c r="I8" s="5" t="str">
        <f t="shared" si="11"/>
        <v>218F612</v>
      </c>
      <c r="J8" s="9" t="str">
        <f t="shared" si="11"/>
        <v>218F6AA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5">
      <c r="A9" s="2" t="s">
        <v>132</v>
      </c>
      <c r="B9" s="2" t="s">
        <v>133</v>
      </c>
      <c r="C9" s="3">
        <v>2189313</v>
      </c>
      <c r="D9" s="4" t="str">
        <f t="shared" ref="D9:F9" si="12">DEC2HEX(HEX2DEC(C9)+152,7)</f>
        <v>21893AB</v>
      </c>
      <c r="E9" s="5" t="str">
        <f t="shared" si="12"/>
        <v>2189443</v>
      </c>
      <c r="F9" s="6" t="str">
        <f t="shared" si="12"/>
        <v>21894DB</v>
      </c>
      <c r="G9" s="7" t="str">
        <f t="shared" ref="G9:J9" si="13">DEC2HEX(HEX2DEC(C9)+25040,7)</f>
        <v>218F4E3</v>
      </c>
      <c r="H9" s="8" t="str">
        <f t="shared" si="13"/>
        <v>218F57B</v>
      </c>
      <c r="I9" s="5" t="str">
        <f t="shared" si="13"/>
        <v>218F613</v>
      </c>
      <c r="J9" s="9" t="str">
        <f t="shared" si="13"/>
        <v>218F6AB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5">
      <c r="A10" s="2" t="s">
        <v>134</v>
      </c>
      <c r="B10" s="2" t="s">
        <v>135</v>
      </c>
      <c r="C10" s="3">
        <v>2189314</v>
      </c>
      <c r="D10" s="4" t="str">
        <f t="shared" ref="D10:F10" si="14">DEC2HEX(HEX2DEC(C10)+152,7)</f>
        <v>21893AC</v>
      </c>
      <c r="E10" s="5" t="str">
        <f t="shared" si="14"/>
        <v>2189444</v>
      </c>
      <c r="F10" s="6" t="str">
        <f t="shared" si="14"/>
        <v>21894DC</v>
      </c>
      <c r="G10" s="7" t="str">
        <f t="shared" ref="G10:J10" si="15">DEC2HEX(HEX2DEC(C10)+25040,7)</f>
        <v>218F4E4</v>
      </c>
      <c r="H10" s="8" t="str">
        <f t="shared" si="15"/>
        <v>218F57C</v>
      </c>
      <c r="I10" s="5" t="str">
        <f t="shared" si="15"/>
        <v>218F614</v>
      </c>
      <c r="J10" s="9" t="str">
        <f t="shared" si="15"/>
        <v>218F6AC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5">
      <c r="A11" s="2" t="s">
        <v>136</v>
      </c>
      <c r="B11" s="2" t="s">
        <v>137</v>
      </c>
      <c r="C11" s="3">
        <v>2189315</v>
      </c>
      <c r="D11" s="4" t="str">
        <f t="shared" ref="D11:F11" si="16">DEC2HEX(HEX2DEC(C11)+152,7)</f>
        <v>21893AD</v>
      </c>
      <c r="E11" s="5" t="str">
        <f t="shared" si="16"/>
        <v>2189445</v>
      </c>
      <c r="F11" s="6" t="str">
        <f t="shared" si="16"/>
        <v>21894DD</v>
      </c>
      <c r="G11" s="7" t="str">
        <f t="shared" ref="G11:J11" si="17">DEC2HEX(HEX2DEC(C11)+25040,7)</f>
        <v>218F4E5</v>
      </c>
      <c r="H11" s="8" t="str">
        <f t="shared" si="17"/>
        <v>218F57D</v>
      </c>
      <c r="I11" s="5" t="str">
        <f t="shared" si="17"/>
        <v>218F615</v>
      </c>
      <c r="J11" s="9" t="str">
        <f t="shared" si="17"/>
        <v>218F6AD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5">
      <c r="A12" s="2" t="s">
        <v>138</v>
      </c>
      <c r="B12" s="18" t="s">
        <v>2033</v>
      </c>
      <c r="C12" s="3">
        <v>2189316</v>
      </c>
      <c r="D12" s="4" t="str">
        <f t="shared" ref="D12:F12" si="18">DEC2HEX(HEX2DEC(C12)+152,7)</f>
        <v>21893AE</v>
      </c>
      <c r="E12" s="5" t="str">
        <f t="shared" si="18"/>
        <v>2189446</v>
      </c>
      <c r="F12" s="6" t="str">
        <f t="shared" si="18"/>
        <v>21894DE</v>
      </c>
      <c r="G12" s="7" t="str">
        <f t="shared" ref="G12:J12" si="19">DEC2HEX(HEX2DEC(C12)+25040,7)</f>
        <v>218F4E6</v>
      </c>
      <c r="H12" s="8" t="str">
        <f t="shared" si="19"/>
        <v>218F57E</v>
      </c>
      <c r="I12" s="5" t="str">
        <f t="shared" si="19"/>
        <v>218F616</v>
      </c>
      <c r="J12" s="9" t="str">
        <f t="shared" si="19"/>
        <v>218F6AE</v>
      </c>
      <c r="K12" s="2"/>
      <c r="L12" s="2" t="s">
        <v>2034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5">
      <c r="A13" s="2" t="s">
        <v>139</v>
      </c>
      <c r="B13" s="2" t="s">
        <v>140</v>
      </c>
      <c r="C13" s="3">
        <v>2189317</v>
      </c>
      <c r="D13" s="4" t="str">
        <f t="shared" ref="D13:F13" si="20">DEC2HEX(HEX2DEC(C13)+152,7)</f>
        <v>21893AF</v>
      </c>
      <c r="E13" s="5" t="str">
        <f t="shared" si="20"/>
        <v>2189447</v>
      </c>
      <c r="F13" s="6" t="str">
        <f t="shared" si="20"/>
        <v>21894DF</v>
      </c>
      <c r="G13" s="7" t="str">
        <f t="shared" ref="G13:J13" si="21">DEC2HEX(HEX2DEC(C13)+25040,7)</f>
        <v>218F4E7</v>
      </c>
      <c r="H13" s="8" t="str">
        <f t="shared" si="21"/>
        <v>218F57F</v>
      </c>
      <c r="I13" s="5" t="str">
        <f t="shared" si="21"/>
        <v>218F617</v>
      </c>
      <c r="J13" s="9" t="str">
        <f t="shared" si="21"/>
        <v>218F6AF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5">
      <c r="A14" s="2" t="s">
        <v>141</v>
      </c>
      <c r="B14" s="2" t="s">
        <v>142</v>
      </c>
      <c r="C14" s="3">
        <v>2189318</v>
      </c>
      <c r="D14" s="4" t="str">
        <f t="shared" ref="D14:F14" si="22">DEC2HEX(HEX2DEC(C14)+152,7)</f>
        <v>21893B0</v>
      </c>
      <c r="E14" s="5" t="str">
        <f t="shared" si="22"/>
        <v>2189448</v>
      </c>
      <c r="F14" s="6" t="str">
        <f t="shared" si="22"/>
        <v>21894E0</v>
      </c>
      <c r="G14" s="7" t="str">
        <f t="shared" ref="G14:J14" si="23">DEC2HEX(HEX2DEC(C14)+25040,7)</f>
        <v>218F4E8</v>
      </c>
      <c r="H14" s="8" t="str">
        <f t="shared" si="23"/>
        <v>218F580</v>
      </c>
      <c r="I14" s="5" t="str">
        <f t="shared" si="23"/>
        <v>218F618</v>
      </c>
      <c r="J14" s="9" t="str">
        <f t="shared" si="23"/>
        <v>218F6B0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5">
      <c r="A15" s="2" t="s">
        <v>143</v>
      </c>
      <c r="B15" s="2" t="s">
        <v>144</v>
      </c>
      <c r="C15" s="3">
        <v>2189319</v>
      </c>
      <c r="D15" s="4" t="str">
        <f t="shared" ref="D15:F15" si="24">DEC2HEX(HEX2DEC(C15)+152,7)</f>
        <v>21893B1</v>
      </c>
      <c r="E15" s="5" t="str">
        <f t="shared" si="24"/>
        <v>2189449</v>
      </c>
      <c r="F15" s="6" t="str">
        <f t="shared" si="24"/>
        <v>21894E1</v>
      </c>
      <c r="G15" s="7" t="str">
        <f t="shared" ref="G15:J15" si="25">DEC2HEX(HEX2DEC(C15)+25040,7)</f>
        <v>218F4E9</v>
      </c>
      <c r="H15" s="8" t="str">
        <f t="shared" si="25"/>
        <v>218F581</v>
      </c>
      <c r="I15" s="5" t="str">
        <f t="shared" si="25"/>
        <v>218F619</v>
      </c>
      <c r="J15" s="9" t="str">
        <f t="shared" si="25"/>
        <v>218F6B1</v>
      </c>
      <c r="K15" s="2"/>
      <c r="L15" s="18" t="s">
        <v>2052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5">
      <c r="A16" s="2" t="s">
        <v>145</v>
      </c>
      <c r="B16" s="18" t="s">
        <v>2035</v>
      </c>
      <c r="C16" s="19" t="s">
        <v>463</v>
      </c>
      <c r="D16" s="4" t="str">
        <f t="shared" ref="D16:F16" si="26">DEC2HEX(HEX2DEC(C16)+152,7)</f>
        <v>21893B2</v>
      </c>
      <c r="E16" s="5" t="str">
        <f t="shared" si="26"/>
        <v>218944A</v>
      </c>
      <c r="F16" s="6" t="str">
        <f t="shared" si="26"/>
        <v>21894E2</v>
      </c>
      <c r="G16" s="7" t="str">
        <f t="shared" ref="G16:J16" si="27">DEC2HEX(HEX2DEC(C16)+25040,7)</f>
        <v>218F4EA</v>
      </c>
      <c r="H16" s="8" t="str">
        <f t="shared" si="27"/>
        <v>218F582</v>
      </c>
      <c r="I16" s="5" t="str">
        <f t="shared" si="27"/>
        <v>218F61A</v>
      </c>
      <c r="J16" s="9" t="str">
        <f t="shared" si="27"/>
        <v>218F6B2</v>
      </c>
      <c r="K16" s="2"/>
      <c r="L16" s="2" t="s">
        <v>2036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5">
      <c r="A17" s="2" t="s">
        <v>146</v>
      </c>
      <c r="B17" s="18" t="s">
        <v>2037</v>
      </c>
      <c r="C17" s="19" t="s">
        <v>464</v>
      </c>
      <c r="D17" s="4" t="str">
        <f t="shared" ref="D17:F17" si="28">DEC2HEX(HEX2DEC(C17)+152,7)</f>
        <v>21893B3</v>
      </c>
      <c r="E17" s="5" t="str">
        <f t="shared" si="28"/>
        <v>218944B</v>
      </c>
      <c r="F17" s="6" t="str">
        <f t="shared" si="28"/>
        <v>21894E3</v>
      </c>
      <c r="G17" s="7" t="str">
        <f t="shared" ref="G17:J17" si="29">DEC2HEX(HEX2DEC(C17)+25040,7)</f>
        <v>218F4EB</v>
      </c>
      <c r="H17" s="8" t="str">
        <f t="shared" si="29"/>
        <v>218F583</v>
      </c>
      <c r="I17" s="5" t="str">
        <f t="shared" si="29"/>
        <v>218F61B</v>
      </c>
      <c r="J17" s="9" t="str">
        <f t="shared" si="29"/>
        <v>218F6B3</v>
      </c>
      <c r="K17" s="2"/>
      <c r="L17" s="18" t="s">
        <v>2044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5">
      <c r="A18" s="2" t="s">
        <v>147</v>
      </c>
      <c r="B18" s="2" t="s">
        <v>148</v>
      </c>
      <c r="C18" s="19" t="s">
        <v>465</v>
      </c>
      <c r="D18" s="4" t="str">
        <f t="shared" ref="D18:F18" si="30">DEC2HEX(HEX2DEC(C18)+152,7)</f>
        <v>21893B4</v>
      </c>
      <c r="E18" s="5" t="str">
        <f t="shared" si="30"/>
        <v>218944C</v>
      </c>
      <c r="F18" s="6" t="str">
        <f t="shared" si="30"/>
        <v>21894E4</v>
      </c>
      <c r="G18" s="7" t="str">
        <f t="shared" ref="G18:J18" si="31">DEC2HEX(HEX2DEC(C18)+25040,7)</f>
        <v>218F4EC</v>
      </c>
      <c r="H18" s="8" t="str">
        <f t="shared" si="31"/>
        <v>218F584</v>
      </c>
      <c r="I18" s="5" t="str">
        <f t="shared" si="31"/>
        <v>218F61C</v>
      </c>
      <c r="J18" s="9" t="str">
        <f t="shared" si="31"/>
        <v>218F6B4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5">
      <c r="A19" s="2" t="s">
        <v>149</v>
      </c>
      <c r="B19" s="2" t="s">
        <v>150</v>
      </c>
      <c r="C19" s="19" t="s">
        <v>466</v>
      </c>
      <c r="D19" s="4" t="str">
        <f t="shared" ref="D19:F19" si="32">DEC2HEX(HEX2DEC(C19)+152,7)</f>
        <v>21893B6</v>
      </c>
      <c r="E19" s="5" t="str">
        <f t="shared" si="32"/>
        <v>218944E</v>
      </c>
      <c r="F19" s="6" t="str">
        <f t="shared" si="32"/>
        <v>21894E6</v>
      </c>
      <c r="G19" s="7" t="str">
        <f t="shared" ref="G19:J19" si="33">DEC2HEX(HEX2DEC(C19)+25040,7)</f>
        <v>218F4EE</v>
      </c>
      <c r="H19" s="8" t="str">
        <f t="shared" si="33"/>
        <v>218F586</v>
      </c>
      <c r="I19" s="5" t="str">
        <f t="shared" si="33"/>
        <v>218F61E</v>
      </c>
      <c r="J19" s="9" t="str">
        <f t="shared" si="33"/>
        <v>218F6B6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5">
      <c r="A20" s="2" t="s">
        <v>151</v>
      </c>
      <c r="B20" s="2" t="s">
        <v>152</v>
      </c>
      <c r="C20" s="3">
        <v>2189320</v>
      </c>
      <c r="D20" s="4" t="str">
        <f t="shared" ref="D20:F20" si="34">DEC2HEX(HEX2DEC(C20)+152,7)</f>
        <v>21893B8</v>
      </c>
      <c r="E20" s="5" t="str">
        <f t="shared" si="34"/>
        <v>2189450</v>
      </c>
      <c r="F20" s="6" t="str">
        <f t="shared" si="34"/>
        <v>21894E8</v>
      </c>
      <c r="G20" s="7" t="str">
        <f t="shared" ref="G20:J20" si="35">DEC2HEX(HEX2DEC(C20)+25040,7)</f>
        <v>218F4F0</v>
      </c>
      <c r="H20" s="8" t="str">
        <f t="shared" si="35"/>
        <v>218F588</v>
      </c>
      <c r="I20" s="5" t="str">
        <f t="shared" si="35"/>
        <v>218F620</v>
      </c>
      <c r="J20" s="9" t="str">
        <f t="shared" si="35"/>
        <v>218F6B8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5">
      <c r="A21" s="2" t="s">
        <v>153</v>
      </c>
      <c r="B21" s="2" t="s">
        <v>154</v>
      </c>
      <c r="C21" s="3">
        <v>2189321</v>
      </c>
      <c r="D21" s="4" t="str">
        <f t="shared" ref="D21:F21" si="36">DEC2HEX(HEX2DEC(C21)+152,7)</f>
        <v>21893B9</v>
      </c>
      <c r="E21" s="5" t="str">
        <f t="shared" si="36"/>
        <v>2189451</v>
      </c>
      <c r="F21" s="6" t="str">
        <f t="shared" si="36"/>
        <v>21894E9</v>
      </c>
      <c r="G21" s="7" t="str">
        <f t="shared" ref="G21:J21" si="37">DEC2HEX(HEX2DEC(C21)+25040,7)</f>
        <v>218F4F1</v>
      </c>
      <c r="H21" s="8" t="str">
        <f t="shared" si="37"/>
        <v>218F589</v>
      </c>
      <c r="I21" s="5" t="str">
        <f t="shared" si="37"/>
        <v>218F621</v>
      </c>
      <c r="J21" s="9" t="str">
        <f t="shared" si="37"/>
        <v>218F6B9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5">
      <c r="A22" s="2" t="s">
        <v>155</v>
      </c>
      <c r="B22" s="2" t="s">
        <v>156</v>
      </c>
      <c r="C22" s="3">
        <v>2189322</v>
      </c>
      <c r="D22" s="4" t="str">
        <f t="shared" ref="D22:F22" si="38">DEC2HEX(HEX2DEC(C22)+152,7)</f>
        <v>21893BA</v>
      </c>
      <c r="E22" s="5" t="str">
        <f t="shared" si="38"/>
        <v>2189452</v>
      </c>
      <c r="F22" s="6" t="str">
        <f t="shared" si="38"/>
        <v>21894EA</v>
      </c>
      <c r="G22" s="7" t="str">
        <f t="shared" ref="G22:J22" si="39">DEC2HEX(HEX2DEC(C22)+25040,7)</f>
        <v>218F4F2</v>
      </c>
      <c r="H22" s="8" t="str">
        <f t="shared" si="39"/>
        <v>218F58A</v>
      </c>
      <c r="I22" s="5" t="str">
        <f t="shared" si="39"/>
        <v>218F622</v>
      </c>
      <c r="J22" s="9" t="str">
        <f t="shared" si="39"/>
        <v>218F6BA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5">
      <c r="A23" s="2" t="s">
        <v>157</v>
      </c>
      <c r="B23" s="2" t="s">
        <v>158</v>
      </c>
      <c r="C23" s="3">
        <v>2189323</v>
      </c>
      <c r="D23" s="4" t="str">
        <f t="shared" ref="D23:F23" si="40">DEC2HEX(HEX2DEC(C23)+152,7)</f>
        <v>21893BB</v>
      </c>
      <c r="E23" s="5" t="str">
        <f t="shared" si="40"/>
        <v>2189453</v>
      </c>
      <c r="F23" s="6" t="str">
        <f t="shared" si="40"/>
        <v>21894EB</v>
      </c>
      <c r="G23" s="7" t="str">
        <f t="shared" ref="G23:J23" si="41">DEC2HEX(HEX2DEC(C23)+25040,7)</f>
        <v>218F4F3</v>
      </c>
      <c r="H23" s="8" t="str">
        <f t="shared" si="41"/>
        <v>218F58B</v>
      </c>
      <c r="I23" s="5" t="str">
        <f t="shared" si="41"/>
        <v>218F623</v>
      </c>
      <c r="J23" s="9" t="str">
        <f t="shared" si="41"/>
        <v>218F6BB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5">
      <c r="A24" s="2" t="s">
        <v>159</v>
      </c>
      <c r="B24" s="2" t="s">
        <v>160</v>
      </c>
      <c r="C24" s="3">
        <v>2189324</v>
      </c>
      <c r="D24" s="4" t="str">
        <f t="shared" ref="D24:F24" si="42">DEC2HEX(HEX2DEC(C24)+152,7)</f>
        <v>21893BC</v>
      </c>
      <c r="E24" s="5" t="str">
        <f t="shared" si="42"/>
        <v>2189454</v>
      </c>
      <c r="F24" s="6" t="str">
        <f t="shared" si="42"/>
        <v>21894EC</v>
      </c>
      <c r="G24" s="7" t="str">
        <f t="shared" ref="G24:J24" si="43">DEC2HEX(HEX2DEC(C24)+25040,7)</f>
        <v>218F4F4</v>
      </c>
      <c r="H24" s="8" t="str">
        <f t="shared" si="43"/>
        <v>218F58C</v>
      </c>
      <c r="I24" s="5" t="str">
        <f t="shared" si="43"/>
        <v>218F624</v>
      </c>
      <c r="J24" s="9" t="str">
        <f t="shared" si="43"/>
        <v>218F6BC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5">
      <c r="A25" s="2" t="s">
        <v>161</v>
      </c>
      <c r="B25" s="18" t="s">
        <v>2038</v>
      </c>
      <c r="C25" s="3">
        <v>2189325</v>
      </c>
      <c r="D25" s="4" t="str">
        <f t="shared" ref="D25:F25" si="44">DEC2HEX(HEX2DEC(C25)+152,7)</f>
        <v>21893BD</v>
      </c>
      <c r="E25" s="5" t="str">
        <f t="shared" si="44"/>
        <v>2189455</v>
      </c>
      <c r="F25" s="6" t="str">
        <f t="shared" si="44"/>
        <v>21894ED</v>
      </c>
      <c r="G25" s="7" t="str">
        <f t="shared" ref="G25:J25" si="45">DEC2HEX(HEX2DEC(C25)+25040,7)</f>
        <v>218F4F5</v>
      </c>
      <c r="H25" s="8" t="str">
        <f t="shared" si="45"/>
        <v>218F58D</v>
      </c>
      <c r="I25" s="5" t="str">
        <f t="shared" si="45"/>
        <v>218F625</v>
      </c>
      <c r="J25" s="9" t="str">
        <f t="shared" si="45"/>
        <v>218F6BD</v>
      </c>
      <c r="K25" s="2"/>
      <c r="L25" s="18" t="s">
        <v>2039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5">
      <c r="A26" s="2" t="s">
        <v>162</v>
      </c>
      <c r="B26" s="2" t="s">
        <v>163</v>
      </c>
      <c r="C26" s="3">
        <v>2189326</v>
      </c>
      <c r="D26" s="4" t="str">
        <f t="shared" ref="D26:F26" si="46">DEC2HEX(HEX2DEC(C26)+152,7)</f>
        <v>21893BE</v>
      </c>
      <c r="E26" s="5" t="str">
        <f t="shared" si="46"/>
        <v>2189456</v>
      </c>
      <c r="F26" s="6" t="str">
        <f t="shared" si="46"/>
        <v>21894EE</v>
      </c>
      <c r="G26" s="7" t="str">
        <f t="shared" ref="G26:J26" si="47">DEC2HEX(HEX2DEC(C26)+25040,7)</f>
        <v>218F4F6</v>
      </c>
      <c r="H26" s="8" t="str">
        <f t="shared" si="47"/>
        <v>218F58E</v>
      </c>
      <c r="I26" s="5" t="str">
        <f t="shared" si="47"/>
        <v>218F626</v>
      </c>
      <c r="J26" s="9" t="str">
        <f t="shared" si="47"/>
        <v>218F6BE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x14ac:dyDescent="0.45">
      <c r="A27" s="2" t="s">
        <v>164</v>
      </c>
      <c r="B27" s="2" t="s">
        <v>165</v>
      </c>
      <c r="C27" s="3">
        <v>2189328</v>
      </c>
      <c r="D27" s="4" t="str">
        <f t="shared" ref="D27:F27" si="48">DEC2HEX(HEX2DEC(C27)+152,7)</f>
        <v>21893C0</v>
      </c>
      <c r="E27" s="5" t="str">
        <f t="shared" si="48"/>
        <v>2189458</v>
      </c>
      <c r="F27" s="6" t="str">
        <f t="shared" si="48"/>
        <v>21894F0</v>
      </c>
      <c r="G27" s="7" t="str">
        <f t="shared" ref="G27:J27" si="49">DEC2HEX(HEX2DEC(C27)+25040,7)</f>
        <v>218F4F8</v>
      </c>
      <c r="H27" s="8" t="str">
        <f t="shared" si="49"/>
        <v>218F590</v>
      </c>
      <c r="I27" s="5" t="str">
        <f t="shared" si="49"/>
        <v>218F628</v>
      </c>
      <c r="J27" s="9" t="str">
        <f t="shared" si="49"/>
        <v>218F6C0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x14ac:dyDescent="0.45">
      <c r="A28" s="2" t="s">
        <v>166</v>
      </c>
      <c r="B28" s="2" t="s">
        <v>167</v>
      </c>
      <c r="C28" s="19" t="s">
        <v>457</v>
      </c>
      <c r="D28" s="4" t="str">
        <f t="shared" ref="D28:F28" si="50">DEC2HEX(HEX2DEC(C28)+152,7)</f>
        <v>21893C2</v>
      </c>
      <c r="E28" s="5" t="str">
        <f t="shared" si="50"/>
        <v>218945A</v>
      </c>
      <c r="F28" s="6" t="str">
        <f t="shared" si="50"/>
        <v>21894F2</v>
      </c>
      <c r="G28" s="7" t="str">
        <f t="shared" ref="G28:J28" si="51">DEC2HEX(HEX2DEC(C28)+25040,7)</f>
        <v>218F4FA</v>
      </c>
      <c r="H28" s="8" t="str">
        <f t="shared" si="51"/>
        <v>218F592</v>
      </c>
      <c r="I28" s="5" t="str">
        <f t="shared" si="51"/>
        <v>218F62A</v>
      </c>
      <c r="J28" s="9" t="str">
        <f t="shared" si="51"/>
        <v>218F6C2</v>
      </c>
      <c r="K28" s="2"/>
      <c r="L28" s="35" t="s">
        <v>2053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x14ac:dyDescent="0.45">
      <c r="A29" s="2" t="s">
        <v>168</v>
      </c>
      <c r="B29" s="2" t="s">
        <v>169</v>
      </c>
      <c r="C29" s="19" t="s">
        <v>458</v>
      </c>
      <c r="D29" s="4" t="str">
        <f t="shared" ref="D29:F29" si="52">DEC2HEX(HEX2DEC(C29)+152,7)</f>
        <v>21893C3</v>
      </c>
      <c r="E29" s="5" t="str">
        <f t="shared" si="52"/>
        <v>218945B</v>
      </c>
      <c r="F29" s="6" t="str">
        <f t="shared" si="52"/>
        <v>21894F3</v>
      </c>
      <c r="G29" s="7" t="str">
        <f t="shared" ref="G29:J29" si="53">DEC2HEX(HEX2DEC(C29)+25040,7)</f>
        <v>218F4FB</v>
      </c>
      <c r="H29" s="8" t="str">
        <f t="shared" si="53"/>
        <v>218F593</v>
      </c>
      <c r="I29" s="5" t="str">
        <f t="shared" si="53"/>
        <v>218F62B</v>
      </c>
      <c r="J29" s="9" t="str">
        <f t="shared" si="53"/>
        <v>218F6C3</v>
      </c>
      <c r="K29" s="2"/>
      <c r="L29" s="18" t="s">
        <v>2054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x14ac:dyDescent="0.45">
      <c r="A30" s="2" t="s">
        <v>170</v>
      </c>
      <c r="B30" s="2" t="s">
        <v>171</v>
      </c>
      <c r="C30" s="19" t="s">
        <v>459</v>
      </c>
      <c r="D30" s="4" t="str">
        <f t="shared" ref="D30:F30" si="54">DEC2HEX(HEX2DEC(C30)+152,7)</f>
        <v>21893C4</v>
      </c>
      <c r="E30" s="5" t="str">
        <f t="shared" si="54"/>
        <v>218945C</v>
      </c>
      <c r="F30" s="6" t="str">
        <f t="shared" si="54"/>
        <v>21894F4</v>
      </c>
      <c r="G30" s="7" t="str">
        <f t="shared" ref="G30:J30" si="55">DEC2HEX(HEX2DEC(C30)+25040,7)</f>
        <v>218F4FC</v>
      </c>
      <c r="H30" s="8" t="str">
        <f t="shared" si="55"/>
        <v>218F594</v>
      </c>
      <c r="I30" s="5" t="str">
        <f t="shared" si="55"/>
        <v>218F62C</v>
      </c>
      <c r="J30" s="9" t="str">
        <f t="shared" si="55"/>
        <v>218F6C4</v>
      </c>
      <c r="K30" s="2"/>
      <c r="L30" s="18" t="s">
        <v>2055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x14ac:dyDescent="0.45">
      <c r="A31" s="2" t="s">
        <v>172</v>
      </c>
      <c r="B31" s="2" t="s">
        <v>173</v>
      </c>
      <c r="C31" s="19" t="s">
        <v>460</v>
      </c>
      <c r="D31" s="4" t="str">
        <f t="shared" ref="D31:F31" si="56">DEC2HEX(HEX2DEC(C31)+152,7)</f>
        <v>21893C5</v>
      </c>
      <c r="E31" s="5" t="str">
        <f t="shared" si="56"/>
        <v>218945D</v>
      </c>
      <c r="F31" s="6" t="str">
        <f t="shared" si="56"/>
        <v>21894F5</v>
      </c>
      <c r="G31" s="7" t="str">
        <f t="shared" ref="G31:J31" si="57">DEC2HEX(HEX2DEC(C31)+25040,7)</f>
        <v>218F4FD</v>
      </c>
      <c r="H31" s="8" t="str">
        <f t="shared" si="57"/>
        <v>218F595</v>
      </c>
      <c r="I31" s="5" t="str">
        <f t="shared" si="57"/>
        <v>218F62D</v>
      </c>
      <c r="J31" s="9" t="str">
        <f t="shared" si="57"/>
        <v>218F6C5</v>
      </c>
      <c r="K31" s="2"/>
      <c r="L31" s="18" t="s">
        <v>2056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x14ac:dyDescent="0.45">
      <c r="A32" s="2" t="s">
        <v>174</v>
      </c>
      <c r="B32" s="2" t="s">
        <v>175</v>
      </c>
      <c r="C32" s="19" t="s">
        <v>461</v>
      </c>
      <c r="D32" s="4" t="str">
        <f t="shared" ref="D32:F32" si="58">DEC2HEX(HEX2DEC(C32)+152,7)</f>
        <v>21893C6</v>
      </c>
      <c r="E32" s="5" t="str">
        <f t="shared" si="58"/>
        <v>218945E</v>
      </c>
      <c r="F32" s="6" t="str">
        <f t="shared" si="58"/>
        <v>21894F6</v>
      </c>
      <c r="G32" s="7" t="str">
        <f t="shared" ref="G32:J32" si="59">DEC2HEX(HEX2DEC(C32)+25040,7)</f>
        <v>218F4FE</v>
      </c>
      <c r="H32" s="8" t="str">
        <f t="shared" si="59"/>
        <v>218F596</v>
      </c>
      <c r="I32" s="5" t="str">
        <f t="shared" si="59"/>
        <v>218F62E</v>
      </c>
      <c r="J32" s="9" t="str">
        <f t="shared" si="59"/>
        <v>218F6C6</v>
      </c>
      <c r="K32" s="2"/>
      <c r="L32" s="18" t="s">
        <v>2045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x14ac:dyDescent="0.45">
      <c r="A33" s="2" t="s">
        <v>176</v>
      </c>
      <c r="B33" s="2" t="s">
        <v>177</v>
      </c>
      <c r="C33" s="19" t="s">
        <v>462</v>
      </c>
      <c r="D33" s="4" t="str">
        <f t="shared" ref="D33:F33" si="60">DEC2HEX(HEX2DEC(C33)+152,7)</f>
        <v>21893C7</v>
      </c>
      <c r="E33" s="5" t="str">
        <f t="shared" si="60"/>
        <v>218945F</v>
      </c>
      <c r="F33" s="6" t="str">
        <f t="shared" si="60"/>
        <v>21894F7</v>
      </c>
      <c r="G33" s="7" t="str">
        <f t="shared" ref="G33:J33" si="61">DEC2HEX(HEX2DEC(C33)+25040,7)</f>
        <v>218F4FF</v>
      </c>
      <c r="H33" s="8" t="str">
        <f t="shared" si="61"/>
        <v>218F597</v>
      </c>
      <c r="I33" s="5" t="str">
        <f t="shared" si="61"/>
        <v>218F62F</v>
      </c>
      <c r="J33" s="9" t="str">
        <f t="shared" si="61"/>
        <v>218F6C7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x14ac:dyDescent="0.45">
      <c r="A34" s="2" t="s">
        <v>178</v>
      </c>
      <c r="B34" s="2" t="s">
        <v>179</v>
      </c>
      <c r="C34" s="3">
        <v>2189330</v>
      </c>
      <c r="D34" s="4" t="str">
        <f t="shared" ref="D34:F34" si="62">DEC2HEX(HEX2DEC(C34)+152,7)</f>
        <v>21893C8</v>
      </c>
      <c r="E34" s="5" t="str">
        <f t="shared" si="62"/>
        <v>2189460</v>
      </c>
      <c r="F34" s="6" t="str">
        <f t="shared" si="62"/>
        <v>21894F8</v>
      </c>
      <c r="G34" s="7" t="str">
        <f t="shared" ref="G34:J34" si="63">DEC2HEX(HEX2DEC(C34)+25040,7)</f>
        <v>218F500</v>
      </c>
      <c r="H34" s="8" t="str">
        <f t="shared" si="63"/>
        <v>218F598</v>
      </c>
      <c r="I34" s="5" t="str">
        <f t="shared" si="63"/>
        <v>218F630</v>
      </c>
      <c r="J34" s="9" t="str">
        <f t="shared" si="63"/>
        <v>218F6C8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x14ac:dyDescent="0.45">
      <c r="A35" s="2" t="s">
        <v>180</v>
      </c>
      <c r="B35" s="2" t="s">
        <v>181</v>
      </c>
      <c r="C35" s="3">
        <v>2189331</v>
      </c>
      <c r="D35" s="4" t="str">
        <f t="shared" ref="D35:F35" si="64">DEC2HEX(HEX2DEC(C35)+152,7)</f>
        <v>21893C9</v>
      </c>
      <c r="E35" s="5" t="str">
        <f t="shared" si="64"/>
        <v>2189461</v>
      </c>
      <c r="F35" s="6" t="str">
        <f t="shared" si="64"/>
        <v>21894F9</v>
      </c>
      <c r="G35" s="7" t="str">
        <f t="shared" ref="G35:J35" si="65">DEC2HEX(HEX2DEC(C35)+25040,7)</f>
        <v>218F501</v>
      </c>
      <c r="H35" s="8" t="str">
        <f t="shared" si="65"/>
        <v>218F599</v>
      </c>
      <c r="I35" s="5" t="str">
        <f t="shared" si="65"/>
        <v>218F631</v>
      </c>
      <c r="J35" s="9" t="str">
        <f t="shared" si="65"/>
        <v>218F6C9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x14ac:dyDescent="0.45">
      <c r="A36" s="2" t="s">
        <v>182</v>
      </c>
      <c r="B36" s="2" t="s">
        <v>183</v>
      </c>
      <c r="C36" s="3">
        <v>2189332</v>
      </c>
      <c r="D36" s="4" t="str">
        <f t="shared" ref="D36:F36" si="66">DEC2HEX(HEX2DEC(C36)+152,7)</f>
        <v>21893CA</v>
      </c>
      <c r="E36" s="5" t="str">
        <f t="shared" si="66"/>
        <v>2189462</v>
      </c>
      <c r="F36" s="6" t="str">
        <f t="shared" si="66"/>
        <v>21894FA</v>
      </c>
      <c r="G36" s="7" t="str">
        <f t="shared" ref="G36:J36" si="67">DEC2HEX(HEX2DEC(C36)+25040,7)</f>
        <v>218F502</v>
      </c>
      <c r="H36" s="8" t="str">
        <f t="shared" si="67"/>
        <v>218F59A</v>
      </c>
      <c r="I36" s="5" t="str">
        <f t="shared" si="67"/>
        <v>218F632</v>
      </c>
      <c r="J36" s="9" t="str">
        <f t="shared" si="67"/>
        <v>218F6CA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x14ac:dyDescent="0.45">
      <c r="A37" s="2" t="s">
        <v>184</v>
      </c>
      <c r="B37" s="2" t="s">
        <v>185</v>
      </c>
      <c r="C37" s="3">
        <v>2189333</v>
      </c>
      <c r="D37" s="4" t="str">
        <f t="shared" ref="D37:F37" si="68">DEC2HEX(HEX2DEC(C37)+152,7)</f>
        <v>21893CB</v>
      </c>
      <c r="E37" s="5" t="str">
        <f t="shared" si="68"/>
        <v>2189463</v>
      </c>
      <c r="F37" s="6" t="str">
        <f t="shared" si="68"/>
        <v>21894FB</v>
      </c>
      <c r="G37" s="7" t="str">
        <f t="shared" ref="G37:J37" si="69">DEC2HEX(HEX2DEC(C37)+25040,7)</f>
        <v>218F503</v>
      </c>
      <c r="H37" s="8" t="str">
        <f t="shared" si="69"/>
        <v>218F59B</v>
      </c>
      <c r="I37" s="5" t="str">
        <f t="shared" si="69"/>
        <v>218F633</v>
      </c>
      <c r="J37" s="9" t="str">
        <f t="shared" si="69"/>
        <v>218F6CB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x14ac:dyDescent="0.45">
      <c r="A38" s="2" t="s">
        <v>186</v>
      </c>
      <c r="B38" s="2" t="s">
        <v>187</v>
      </c>
      <c r="C38" s="3">
        <v>2189334</v>
      </c>
      <c r="D38" s="4" t="str">
        <f t="shared" ref="D38:F38" si="70">DEC2HEX(HEX2DEC(C38)+152,7)</f>
        <v>21893CC</v>
      </c>
      <c r="E38" s="5" t="str">
        <f t="shared" si="70"/>
        <v>2189464</v>
      </c>
      <c r="F38" s="6" t="str">
        <f t="shared" si="70"/>
        <v>21894FC</v>
      </c>
      <c r="G38" s="7" t="str">
        <f t="shared" ref="G38:J38" si="71">DEC2HEX(HEX2DEC(C38)+25040,7)</f>
        <v>218F504</v>
      </c>
      <c r="H38" s="8" t="str">
        <f t="shared" si="71"/>
        <v>218F59C</v>
      </c>
      <c r="I38" s="5" t="str">
        <f t="shared" si="71"/>
        <v>218F634</v>
      </c>
      <c r="J38" s="9" t="str">
        <f t="shared" si="71"/>
        <v>218F6CC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x14ac:dyDescent="0.45">
      <c r="A39" s="2" t="s">
        <v>188</v>
      </c>
      <c r="B39" s="18" t="s">
        <v>456</v>
      </c>
      <c r="C39" s="3">
        <v>2189335</v>
      </c>
      <c r="D39" s="4" t="str">
        <f t="shared" ref="D39:F39" si="72">DEC2HEX(HEX2DEC(C39)+152,7)</f>
        <v>21893CD</v>
      </c>
      <c r="E39" s="5" t="str">
        <f t="shared" si="72"/>
        <v>2189465</v>
      </c>
      <c r="F39" s="6" t="str">
        <f t="shared" si="72"/>
        <v>21894FD</v>
      </c>
      <c r="G39" s="7" t="str">
        <f t="shared" ref="G39:J39" si="73">DEC2HEX(HEX2DEC(C39)+25040,7)</f>
        <v>218F505</v>
      </c>
      <c r="H39" s="8" t="str">
        <f t="shared" si="73"/>
        <v>218F59D</v>
      </c>
      <c r="I39" s="5" t="str">
        <f t="shared" si="73"/>
        <v>218F635</v>
      </c>
      <c r="J39" s="9" t="str">
        <f t="shared" si="73"/>
        <v>218F6CD</v>
      </c>
      <c r="K39" s="2"/>
      <c r="L39" s="18" t="s">
        <v>2046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x14ac:dyDescent="0.45">
      <c r="A40" s="2" t="s">
        <v>189</v>
      </c>
      <c r="B40" s="2" t="s">
        <v>190</v>
      </c>
      <c r="C40" s="3">
        <v>2189336</v>
      </c>
      <c r="D40" s="4" t="str">
        <f t="shared" ref="D40:F40" si="74">DEC2HEX(HEX2DEC(C40)+152,7)</f>
        <v>21893CE</v>
      </c>
      <c r="E40" s="5" t="str">
        <f t="shared" si="74"/>
        <v>2189466</v>
      </c>
      <c r="F40" s="6" t="str">
        <f t="shared" si="74"/>
        <v>21894FE</v>
      </c>
      <c r="G40" s="7" t="str">
        <f t="shared" ref="G40:J40" si="75">DEC2HEX(HEX2DEC(C40)+25040,7)</f>
        <v>218F506</v>
      </c>
      <c r="H40" s="8" t="str">
        <f t="shared" si="75"/>
        <v>218F59E</v>
      </c>
      <c r="I40" s="5" t="str">
        <f t="shared" si="75"/>
        <v>218F636</v>
      </c>
      <c r="J40" s="9" t="str">
        <f t="shared" si="75"/>
        <v>218F6CE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x14ac:dyDescent="0.45">
      <c r="A41" s="2" t="s">
        <v>191</v>
      </c>
      <c r="B41" s="2" t="s">
        <v>192</v>
      </c>
      <c r="C41" s="3">
        <v>2189337</v>
      </c>
      <c r="D41" s="4" t="str">
        <f t="shared" ref="D41:F41" si="76">DEC2HEX(HEX2DEC(C41)+152,7)</f>
        <v>21893CF</v>
      </c>
      <c r="E41" s="5" t="str">
        <f t="shared" si="76"/>
        <v>2189467</v>
      </c>
      <c r="F41" s="6" t="str">
        <f t="shared" si="76"/>
        <v>21894FF</v>
      </c>
      <c r="G41" s="7" t="str">
        <f t="shared" ref="G41:J41" si="77">DEC2HEX(HEX2DEC(C41)+25040,7)</f>
        <v>218F507</v>
      </c>
      <c r="H41" s="8" t="str">
        <f t="shared" si="77"/>
        <v>218F59F</v>
      </c>
      <c r="I41" s="5" t="str">
        <f t="shared" si="77"/>
        <v>218F637</v>
      </c>
      <c r="J41" s="9" t="str">
        <f t="shared" si="77"/>
        <v>218F6CF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x14ac:dyDescent="0.45">
      <c r="A42" s="2" t="s">
        <v>193</v>
      </c>
      <c r="B42" s="2" t="s">
        <v>194</v>
      </c>
      <c r="C42" s="3">
        <v>2189338</v>
      </c>
      <c r="D42" s="4" t="str">
        <f t="shared" ref="D42:F42" si="78">DEC2HEX(HEX2DEC(C42)+152,7)</f>
        <v>21893D0</v>
      </c>
      <c r="E42" s="5" t="str">
        <f t="shared" si="78"/>
        <v>2189468</v>
      </c>
      <c r="F42" s="6" t="str">
        <f t="shared" si="78"/>
        <v>2189500</v>
      </c>
      <c r="G42" s="7" t="str">
        <f t="shared" ref="G42:J42" si="79">DEC2HEX(HEX2DEC(C42)+25040,7)</f>
        <v>218F508</v>
      </c>
      <c r="H42" s="8" t="str">
        <f t="shared" si="79"/>
        <v>218F5A0</v>
      </c>
      <c r="I42" s="5" t="str">
        <f t="shared" si="79"/>
        <v>218F638</v>
      </c>
      <c r="J42" s="9" t="str">
        <f t="shared" si="79"/>
        <v>218F6D0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x14ac:dyDescent="0.45">
      <c r="A43" s="2" t="s">
        <v>195</v>
      </c>
      <c r="B43" s="2" t="s">
        <v>196</v>
      </c>
      <c r="C43" s="3">
        <v>2189339</v>
      </c>
      <c r="D43" s="4" t="str">
        <f t="shared" ref="D43:F43" si="80">DEC2HEX(HEX2DEC(C43)+152,7)</f>
        <v>21893D1</v>
      </c>
      <c r="E43" s="5" t="str">
        <f t="shared" si="80"/>
        <v>2189469</v>
      </c>
      <c r="F43" s="6" t="str">
        <f t="shared" si="80"/>
        <v>2189501</v>
      </c>
      <c r="G43" s="7" t="str">
        <f t="shared" ref="G43:J43" si="81">DEC2HEX(HEX2DEC(C43)+25040,7)</f>
        <v>218F509</v>
      </c>
      <c r="H43" s="8" t="str">
        <f t="shared" si="81"/>
        <v>218F5A1</v>
      </c>
      <c r="I43" s="5" t="str">
        <f t="shared" si="81"/>
        <v>218F639</v>
      </c>
      <c r="J43" s="9" t="str">
        <f t="shared" si="81"/>
        <v>218F6D1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x14ac:dyDescent="0.45">
      <c r="A44" s="2" t="s">
        <v>197</v>
      </c>
      <c r="B44" s="2" t="s">
        <v>198</v>
      </c>
      <c r="C44" s="19" t="s">
        <v>468</v>
      </c>
      <c r="D44" s="4" t="str">
        <f t="shared" ref="D44:F44" si="82">DEC2HEX(HEX2DEC(C44)+152,7)</f>
        <v>21893D2</v>
      </c>
      <c r="E44" s="5" t="str">
        <f t="shared" si="82"/>
        <v>218946A</v>
      </c>
      <c r="F44" s="6" t="str">
        <f t="shared" si="82"/>
        <v>2189502</v>
      </c>
      <c r="G44" s="7" t="str">
        <f t="shared" ref="G44:J44" si="83">DEC2HEX(HEX2DEC(C44)+25040,7)</f>
        <v>218F50A</v>
      </c>
      <c r="H44" s="8" t="str">
        <f t="shared" si="83"/>
        <v>218F5A2</v>
      </c>
      <c r="I44" s="5" t="str">
        <f t="shared" si="83"/>
        <v>218F63A</v>
      </c>
      <c r="J44" s="9" t="str">
        <f t="shared" si="83"/>
        <v>218F6D2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x14ac:dyDescent="0.45">
      <c r="A45" s="2" t="s">
        <v>199</v>
      </c>
      <c r="B45" s="2" t="s">
        <v>200</v>
      </c>
      <c r="C45" s="19" t="s">
        <v>469</v>
      </c>
      <c r="D45" s="4" t="str">
        <f t="shared" ref="D45:F45" si="84">DEC2HEX(HEX2DEC(C45)+152,7)</f>
        <v>21893D3</v>
      </c>
      <c r="E45" s="5" t="str">
        <f t="shared" si="84"/>
        <v>218946B</v>
      </c>
      <c r="F45" s="6" t="str">
        <f t="shared" si="84"/>
        <v>2189503</v>
      </c>
      <c r="G45" s="7" t="str">
        <f t="shared" ref="G45:J45" si="85">DEC2HEX(HEX2DEC(C45)+25040,7)</f>
        <v>218F50B</v>
      </c>
      <c r="H45" s="8" t="str">
        <f t="shared" si="85"/>
        <v>218F5A3</v>
      </c>
      <c r="I45" s="5" t="str">
        <f t="shared" si="85"/>
        <v>218F63B</v>
      </c>
      <c r="J45" s="9" t="str">
        <f t="shared" si="85"/>
        <v>218F6D3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x14ac:dyDescent="0.45">
      <c r="A46" s="2" t="s">
        <v>201</v>
      </c>
      <c r="B46" s="2" t="s">
        <v>202</v>
      </c>
      <c r="C46" s="19" t="s">
        <v>470</v>
      </c>
      <c r="D46" s="4" t="str">
        <f t="shared" ref="D46:F46" si="86">DEC2HEX(HEX2DEC(C46)+152,7)</f>
        <v>21893D4</v>
      </c>
      <c r="E46" s="5" t="str">
        <f t="shared" si="86"/>
        <v>218946C</v>
      </c>
      <c r="F46" s="6" t="str">
        <f t="shared" si="86"/>
        <v>2189504</v>
      </c>
      <c r="G46" s="7" t="str">
        <f t="shared" ref="G46:J46" si="87">DEC2HEX(HEX2DEC(C46)+25040,7)</f>
        <v>218F50C</v>
      </c>
      <c r="H46" s="8" t="str">
        <f t="shared" si="87"/>
        <v>218F5A4</v>
      </c>
      <c r="I46" s="5" t="str">
        <f t="shared" si="87"/>
        <v>218F63C</v>
      </c>
      <c r="J46" s="9" t="str">
        <f t="shared" si="87"/>
        <v>218F6D4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x14ac:dyDescent="0.45">
      <c r="A47" s="2" t="s">
        <v>203</v>
      </c>
      <c r="B47" s="2" t="s">
        <v>204</v>
      </c>
      <c r="C47" s="19" t="s">
        <v>471</v>
      </c>
      <c r="D47" s="4" t="str">
        <f t="shared" ref="D47:F47" si="88">DEC2HEX(HEX2DEC(C47)+152,7)</f>
        <v>21893D5</v>
      </c>
      <c r="E47" s="5" t="str">
        <f t="shared" si="88"/>
        <v>218946D</v>
      </c>
      <c r="F47" s="6" t="str">
        <f t="shared" si="88"/>
        <v>2189505</v>
      </c>
      <c r="G47" s="7" t="str">
        <f t="shared" ref="G47:J47" si="89">DEC2HEX(HEX2DEC(C47)+25040,7)</f>
        <v>218F50D</v>
      </c>
      <c r="H47" s="8" t="str">
        <f t="shared" si="89"/>
        <v>218F5A5</v>
      </c>
      <c r="I47" s="5" t="str">
        <f t="shared" si="89"/>
        <v>218F63D</v>
      </c>
      <c r="J47" s="9" t="str">
        <f t="shared" si="89"/>
        <v>218F6D5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x14ac:dyDescent="0.45">
      <c r="A48" s="2" t="s">
        <v>205</v>
      </c>
      <c r="B48" s="2" t="s">
        <v>206</v>
      </c>
      <c r="C48" s="19" t="s">
        <v>472</v>
      </c>
      <c r="D48" s="4" t="str">
        <f t="shared" ref="D48:F48" si="90">DEC2HEX(HEX2DEC(C48)+152,7)</f>
        <v>21893D6</v>
      </c>
      <c r="E48" s="5" t="str">
        <f t="shared" si="90"/>
        <v>218946E</v>
      </c>
      <c r="F48" s="6" t="str">
        <f t="shared" si="90"/>
        <v>2189506</v>
      </c>
      <c r="G48" s="7" t="str">
        <f t="shared" ref="G48:J48" si="91">DEC2HEX(HEX2DEC(C48)+25040,7)</f>
        <v>218F50E</v>
      </c>
      <c r="H48" s="8" t="str">
        <f t="shared" si="91"/>
        <v>218F5A6</v>
      </c>
      <c r="I48" s="5" t="str">
        <f t="shared" si="91"/>
        <v>218F63E</v>
      </c>
      <c r="J48" s="9" t="str">
        <f t="shared" si="91"/>
        <v>218F6D6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x14ac:dyDescent="0.45">
      <c r="A49" s="2" t="s">
        <v>207</v>
      </c>
      <c r="B49" s="2" t="s">
        <v>208</v>
      </c>
      <c r="C49" s="19" t="s">
        <v>473</v>
      </c>
      <c r="D49" s="4" t="str">
        <f t="shared" ref="D49:F49" si="92">DEC2HEX(HEX2DEC(C49)+152,7)</f>
        <v>21893D7</v>
      </c>
      <c r="E49" s="5" t="str">
        <f t="shared" si="92"/>
        <v>218946F</v>
      </c>
      <c r="F49" s="6" t="str">
        <f t="shared" si="92"/>
        <v>2189507</v>
      </c>
      <c r="G49" s="7" t="str">
        <f t="shared" ref="G49:J49" si="93">DEC2HEX(HEX2DEC(C49)+25040,7)</f>
        <v>218F50F</v>
      </c>
      <c r="H49" s="8" t="str">
        <f t="shared" si="93"/>
        <v>218F5A7</v>
      </c>
      <c r="I49" s="5" t="str">
        <f t="shared" si="93"/>
        <v>218F63F</v>
      </c>
      <c r="J49" s="9" t="str">
        <f t="shared" si="93"/>
        <v>218F6D7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x14ac:dyDescent="0.45">
      <c r="A50" s="2" t="s">
        <v>209</v>
      </c>
      <c r="B50" s="2" t="s">
        <v>210</v>
      </c>
      <c r="C50" s="3">
        <v>2189340</v>
      </c>
      <c r="D50" s="4" t="str">
        <f t="shared" ref="D50:F50" si="94">DEC2HEX(HEX2DEC(C50)+152,7)</f>
        <v>21893D8</v>
      </c>
      <c r="E50" s="5" t="str">
        <f t="shared" si="94"/>
        <v>2189470</v>
      </c>
      <c r="F50" s="6" t="str">
        <f t="shared" si="94"/>
        <v>2189508</v>
      </c>
      <c r="G50" s="7" t="str">
        <f t="shared" ref="G50:J50" si="95">DEC2HEX(HEX2DEC(C50)+25040,7)</f>
        <v>218F510</v>
      </c>
      <c r="H50" s="8" t="str">
        <f t="shared" si="95"/>
        <v>218F5A8</v>
      </c>
      <c r="I50" s="5" t="str">
        <f t="shared" si="95"/>
        <v>218F640</v>
      </c>
      <c r="J50" s="9" t="str">
        <f t="shared" si="95"/>
        <v>218F6D8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x14ac:dyDescent="0.45">
      <c r="A51" s="2" t="s">
        <v>211</v>
      </c>
      <c r="B51" s="2" t="s">
        <v>212</v>
      </c>
      <c r="C51" s="3">
        <v>2189341</v>
      </c>
      <c r="D51" s="4" t="str">
        <f t="shared" ref="D51:F51" si="96">DEC2HEX(HEX2DEC(C51)+152,7)</f>
        <v>21893D9</v>
      </c>
      <c r="E51" s="5" t="str">
        <f t="shared" si="96"/>
        <v>2189471</v>
      </c>
      <c r="F51" s="6" t="str">
        <f t="shared" si="96"/>
        <v>2189509</v>
      </c>
      <c r="G51" s="7" t="str">
        <f t="shared" ref="G51:J51" si="97">DEC2HEX(HEX2DEC(C51)+25040,7)</f>
        <v>218F511</v>
      </c>
      <c r="H51" s="8" t="str">
        <f t="shared" si="97"/>
        <v>218F5A9</v>
      </c>
      <c r="I51" s="5" t="str">
        <f t="shared" si="97"/>
        <v>218F641</v>
      </c>
      <c r="J51" s="9" t="str">
        <f t="shared" si="97"/>
        <v>218F6D9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x14ac:dyDescent="0.45">
      <c r="A52" s="2" t="s">
        <v>213</v>
      </c>
      <c r="B52" s="2" t="s">
        <v>214</v>
      </c>
      <c r="C52" s="3">
        <v>2189342</v>
      </c>
      <c r="D52" s="4" t="str">
        <f t="shared" ref="D52:F52" si="98">DEC2HEX(HEX2DEC(C52)+152,7)</f>
        <v>21893DA</v>
      </c>
      <c r="E52" s="5" t="str">
        <f t="shared" si="98"/>
        <v>2189472</v>
      </c>
      <c r="F52" s="6" t="str">
        <f t="shared" si="98"/>
        <v>218950A</v>
      </c>
      <c r="G52" s="7" t="str">
        <f t="shared" ref="G52:J52" si="99">DEC2HEX(HEX2DEC(C52)+25040,7)</f>
        <v>218F512</v>
      </c>
      <c r="H52" s="8" t="str">
        <f t="shared" si="99"/>
        <v>218F5AA</v>
      </c>
      <c r="I52" s="5" t="str">
        <f t="shared" si="99"/>
        <v>218F642</v>
      </c>
      <c r="J52" s="9" t="str">
        <f t="shared" si="99"/>
        <v>218F6DA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x14ac:dyDescent="0.45">
      <c r="A53" s="2" t="s">
        <v>215</v>
      </c>
      <c r="B53" s="2" t="s">
        <v>216</v>
      </c>
      <c r="C53" s="3">
        <v>2189343</v>
      </c>
      <c r="D53" s="4" t="str">
        <f t="shared" ref="D53:F53" si="100">DEC2HEX(HEX2DEC(C53)+152,7)</f>
        <v>21893DB</v>
      </c>
      <c r="E53" s="5" t="str">
        <f t="shared" si="100"/>
        <v>2189473</v>
      </c>
      <c r="F53" s="6" t="str">
        <f t="shared" si="100"/>
        <v>218950B</v>
      </c>
      <c r="G53" s="7" t="str">
        <f t="shared" ref="G53:J53" si="101">DEC2HEX(HEX2DEC(C53)+25040,7)</f>
        <v>218F513</v>
      </c>
      <c r="H53" s="8" t="str">
        <f t="shared" si="101"/>
        <v>218F5AB</v>
      </c>
      <c r="I53" s="5" t="str">
        <f t="shared" si="101"/>
        <v>218F643</v>
      </c>
      <c r="J53" s="9" t="str">
        <f t="shared" si="101"/>
        <v>218F6DB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x14ac:dyDescent="0.45">
      <c r="A54" s="2" t="s">
        <v>217</v>
      </c>
      <c r="B54" s="2" t="s">
        <v>218</v>
      </c>
      <c r="C54" s="3">
        <v>2189344</v>
      </c>
      <c r="D54" s="4" t="str">
        <f t="shared" ref="D54:F54" si="102">DEC2HEX(HEX2DEC(C54)+152,7)</f>
        <v>21893DC</v>
      </c>
      <c r="E54" s="5" t="str">
        <f t="shared" si="102"/>
        <v>2189474</v>
      </c>
      <c r="F54" s="6" t="str">
        <f t="shared" si="102"/>
        <v>218950C</v>
      </c>
      <c r="G54" s="7" t="str">
        <f t="shared" ref="G54:J54" si="103">DEC2HEX(HEX2DEC(C54)+25040,7)</f>
        <v>218F514</v>
      </c>
      <c r="H54" s="8" t="str">
        <f t="shared" si="103"/>
        <v>218F5AC</v>
      </c>
      <c r="I54" s="5" t="str">
        <f t="shared" si="103"/>
        <v>218F644</v>
      </c>
      <c r="J54" s="9" t="str">
        <f t="shared" si="103"/>
        <v>218F6DC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x14ac:dyDescent="0.45">
      <c r="A55" s="2" t="s">
        <v>219</v>
      </c>
      <c r="B55" s="2" t="s">
        <v>220</v>
      </c>
      <c r="C55" s="3">
        <v>2189345</v>
      </c>
      <c r="D55" s="4" t="str">
        <f t="shared" ref="D55:F55" si="104">DEC2HEX(HEX2DEC(C55)+152,7)</f>
        <v>21893DD</v>
      </c>
      <c r="E55" s="5" t="str">
        <f t="shared" si="104"/>
        <v>2189475</v>
      </c>
      <c r="F55" s="6" t="str">
        <f t="shared" si="104"/>
        <v>218950D</v>
      </c>
      <c r="G55" s="7" t="str">
        <f t="shared" ref="G55:J55" si="105">DEC2HEX(HEX2DEC(C55)+25040,7)</f>
        <v>218F515</v>
      </c>
      <c r="H55" s="8" t="str">
        <f t="shared" si="105"/>
        <v>218F5AD</v>
      </c>
      <c r="I55" s="5" t="str">
        <f t="shared" si="105"/>
        <v>218F645</v>
      </c>
      <c r="J55" s="9" t="str">
        <f t="shared" si="105"/>
        <v>218F6DD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x14ac:dyDescent="0.45">
      <c r="A56" s="2" t="s">
        <v>221</v>
      </c>
      <c r="B56" s="2" t="s">
        <v>222</v>
      </c>
      <c r="C56" s="3">
        <v>2189346</v>
      </c>
      <c r="D56" s="4" t="str">
        <f t="shared" ref="D56:F56" si="106">DEC2HEX(HEX2DEC(C56)+152,7)</f>
        <v>21893DE</v>
      </c>
      <c r="E56" s="5" t="str">
        <f t="shared" si="106"/>
        <v>2189476</v>
      </c>
      <c r="F56" s="6" t="str">
        <f t="shared" si="106"/>
        <v>218950E</v>
      </c>
      <c r="G56" s="7" t="str">
        <f t="shared" ref="G56:J56" si="107">DEC2HEX(HEX2DEC(C56)+25040,7)</f>
        <v>218F516</v>
      </c>
      <c r="H56" s="8" t="str">
        <f t="shared" si="107"/>
        <v>218F5AE</v>
      </c>
      <c r="I56" s="5" t="str">
        <f t="shared" si="107"/>
        <v>218F646</v>
      </c>
      <c r="J56" s="9" t="str">
        <f t="shared" si="107"/>
        <v>218F6DE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x14ac:dyDescent="0.45">
      <c r="A57" s="2" t="s">
        <v>223</v>
      </c>
      <c r="B57" s="2" t="s">
        <v>224</v>
      </c>
      <c r="C57" s="3">
        <v>2189347</v>
      </c>
      <c r="D57" s="4" t="str">
        <f t="shared" ref="D57:F57" si="108">DEC2HEX(HEX2DEC(C57)+152,7)</f>
        <v>21893DF</v>
      </c>
      <c r="E57" s="5" t="str">
        <f t="shared" si="108"/>
        <v>2189477</v>
      </c>
      <c r="F57" s="6" t="str">
        <f t="shared" si="108"/>
        <v>218950F</v>
      </c>
      <c r="G57" s="7" t="str">
        <f t="shared" ref="G57:J57" si="109">DEC2HEX(HEX2DEC(C57)+25040,7)</f>
        <v>218F517</v>
      </c>
      <c r="H57" s="8" t="str">
        <f t="shared" si="109"/>
        <v>218F5AF</v>
      </c>
      <c r="I57" s="5" t="str">
        <f t="shared" si="109"/>
        <v>218F647</v>
      </c>
      <c r="J57" s="9" t="str">
        <f t="shared" si="109"/>
        <v>218F6DF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x14ac:dyDescent="0.45">
      <c r="A58" s="2" t="s">
        <v>225</v>
      </c>
      <c r="B58" s="2" t="s">
        <v>226</v>
      </c>
      <c r="C58" s="3">
        <v>2189348</v>
      </c>
      <c r="D58" s="4" t="str">
        <f t="shared" ref="D58:F58" si="110">DEC2HEX(HEX2DEC(C58)+152,7)</f>
        <v>21893E0</v>
      </c>
      <c r="E58" s="5" t="str">
        <f t="shared" si="110"/>
        <v>2189478</v>
      </c>
      <c r="F58" s="6" t="str">
        <f t="shared" si="110"/>
        <v>2189510</v>
      </c>
      <c r="G58" s="7" t="str">
        <f t="shared" ref="G58:J58" si="111">DEC2HEX(HEX2DEC(C58)+25040,7)</f>
        <v>218F518</v>
      </c>
      <c r="H58" s="8" t="str">
        <f t="shared" si="111"/>
        <v>218F5B0</v>
      </c>
      <c r="I58" s="5" t="str">
        <f t="shared" si="111"/>
        <v>218F648</v>
      </c>
      <c r="J58" s="9" t="str">
        <f t="shared" si="111"/>
        <v>218F6E0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x14ac:dyDescent="0.45">
      <c r="A59" s="2" t="s">
        <v>227</v>
      </c>
      <c r="B59" s="2" t="s">
        <v>228</v>
      </c>
      <c r="C59" s="3">
        <v>2189349</v>
      </c>
      <c r="D59" s="4" t="str">
        <f t="shared" ref="D59:F59" si="112">DEC2HEX(HEX2DEC(C59)+152,7)</f>
        <v>21893E1</v>
      </c>
      <c r="E59" s="5" t="str">
        <f t="shared" si="112"/>
        <v>2189479</v>
      </c>
      <c r="F59" s="6" t="str">
        <f t="shared" si="112"/>
        <v>2189511</v>
      </c>
      <c r="G59" s="7" t="str">
        <f t="shared" ref="G59:J59" si="113">DEC2HEX(HEX2DEC(C59)+25040,7)</f>
        <v>218F519</v>
      </c>
      <c r="H59" s="8" t="str">
        <f t="shared" si="113"/>
        <v>218F5B1</v>
      </c>
      <c r="I59" s="5" t="str">
        <f t="shared" si="113"/>
        <v>218F649</v>
      </c>
      <c r="J59" s="9" t="str">
        <f t="shared" si="113"/>
        <v>218F6E1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x14ac:dyDescent="0.45">
      <c r="A60" s="2" t="s">
        <v>229</v>
      </c>
      <c r="B60" s="2" t="s">
        <v>230</v>
      </c>
      <c r="C60" s="19" t="s">
        <v>474</v>
      </c>
      <c r="D60" s="4" t="str">
        <f t="shared" ref="D60:F60" si="114">DEC2HEX(HEX2DEC(C60)+152,7)</f>
        <v>21893E2</v>
      </c>
      <c r="E60" s="5" t="str">
        <f t="shared" si="114"/>
        <v>218947A</v>
      </c>
      <c r="F60" s="6" t="str">
        <f t="shared" si="114"/>
        <v>2189512</v>
      </c>
      <c r="G60" s="7" t="str">
        <f t="shared" ref="G60:J60" si="115">DEC2HEX(HEX2DEC(C60)+25040,7)</f>
        <v>218F51A</v>
      </c>
      <c r="H60" s="8" t="str">
        <f t="shared" si="115"/>
        <v>218F5B2</v>
      </c>
      <c r="I60" s="5" t="str">
        <f t="shared" si="115"/>
        <v>218F64A</v>
      </c>
      <c r="J60" s="9" t="str">
        <f t="shared" si="115"/>
        <v>218F6E2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x14ac:dyDescent="0.45">
      <c r="A61" s="2" t="s">
        <v>231</v>
      </c>
      <c r="B61" s="2" t="s">
        <v>232</v>
      </c>
      <c r="C61" s="19" t="s">
        <v>475</v>
      </c>
      <c r="D61" s="4" t="str">
        <f t="shared" ref="D61:F61" si="116">DEC2HEX(HEX2DEC(C61)+152,7)</f>
        <v>21893E3</v>
      </c>
      <c r="E61" s="5" t="str">
        <f t="shared" si="116"/>
        <v>218947B</v>
      </c>
      <c r="F61" s="6" t="str">
        <f t="shared" si="116"/>
        <v>2189513</v>
      </c>
      <c r="G61" s="7" t="str">
        <f t="shared" ref="G61:J61" si="117">DEC2HEX(HEX2DEC(C61)+25040,7)</f>
        <v>218F51B</v>
      </c>
      <c r="H61" s="8" t="str">
        <f t="shared" si="117"/>
        <v>218F5B3</v>
      </c>
      <c r="I61" s="5" t="str">
        <f t="shared" si="117"/>
        <v>218F64B</v>
      </c>
      <c r="J61" s="9" t="str">
        <f t="shared" si="117"/>
        <v>218F6E3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x14ac:dyDescent="0.45">
      <c r="A62" s="2" t="s">
        <v>233</v>
      </c>
      <c r="B62" s="2" t="s">
        <v>234</v>
      </c>
      <c r="C62" s="19" t="s">
        <v>476</v>
      </c>
      <c r="D62" s="4" t="str">
        <f t="shared" ref="D62:F62" si="118">DEC2HEX(HEX2DEC(C62)+152,7)</f>
        <v>21893E4</v>
      </c>
      <c r="E62" s="5" t="str">
        <f t="shared" si="118"/>
        <v>218947C</v>
      </c>
      <c r="F62" s="6" t="str">
        <f t="shared" si="118"/>
        <v>2189514</v>
      </c>
      <c r="G62" s="7" t="str">
        <f t="shared" ref="G62:J62" si="119">DEC2HEX(HEX2DEC(C62)+25040,7)</f>
        <v>218F51C</v>
      </c>
      <c r="H62" s="8" t="str">
        <f t="shared" si="119"/>
        <v>218F5B4</v>
      </c>
      <c r="I62" s="5" t="str">
        <f t="shared" si="119"/>
        <v>218F64C</v>
      </c>
      <c r="J62" s="9" t="str">
        <f t="shared" si="119"/>
        <v>218F6E4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x14ac:dyDescent="0.45">
      <c r="A63" s="2" t="s">
        <v>235</v>
      </c>
      <c r="B63" s="2" t="s">
        <v>236</v>
      </c>
      <c r="C63" s="19" t="s">
        <v>477</v>
      </c>
      <c r="D63" s="4" t="str">
        <f t="shared" ref="D63:F63" si="120">DEC2HEX(HEX2DEC(C63)+152,7)</f>
        <v>21893E5</v>
      </c>
      <c r="E63" s="5" t="str">
        <f t="shared" si="120"/>
        <v>218947D</v>
      </c>
      <c r="F63" s="6" t="str">
        <f t="shared" si="120"/>
        <v>2189515</v>
      </c>
      <c r="G63" s="7" t="str">
        <f t="shared" ref="G63:J63" si="121">DEC2HEX(HEX2DEC(C63)+25040,7)</f>
        <v>218F51D</v>
      </c>
      <c r="H63" s="8" t="str">
        <f t="shared" si="121"/>
        <v>218F5B5</v>
      </c>
      <c r="I63" s="5" t="str">
        <f t="shared" si="121"/>
        <v>218F64D</v>
      </c>
      <c r="J63" s="9" t="str">
        <f t="shared" si="121"/>
        <v>218F6E5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x14ac:dyDescent="0.45">
      <c r="A64" s="2" t="s">
        <v>237</v>
      </c>
      <c r="B64" s="2" t="s">
        <v>238</v>
      </c>
      <c r="C64" s="19" t="s">
        <v>478</v>
      </c>
      <c r="D64" s="4" t="str">
        <f t="shared" ref="D64:F64" si="122">DEC2HEX(HEX2DEC(C64)+152,7)</f>
        <v>21893E6</v>
      </c>
      <c r="E64" s="5" t="str">
        <f t="shared" si="122"/>
        <v>218947E</v>
      </c>
      <c r="F64" s="6" t="str">
        <f t="shared" si="122"/>
        <v>2189516</v>
      </c>
      <c r="G64" s="7" t="str">
        <f t="shared" ref="G64:J64" si="123">DEC2HEX(HEX2DEC(C64)+25040,7)</f>
        <v>218F51E</v>
      </c>
      <c r="H64" s="8" t="str">
        <f t="shared" si="123"/>
        <v>218F5B6</v>
      </c>
      <c r="I64" s="5" t="str">
        <f t="shared" si="123"/>
        <v>218F64E</v>
      </c>
      <c r="J64" s="9" t="str">
        <f t="shared" si="123"/>
        <v>218F6E6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x14ac:dyDescent="0.45">
      <c r="A65" s="2" t="s">
        <v>239</v>
      </c>
      <c r="B65" s="2" t="s">
        <v>240</v>
      </c>
      <c r="C65" s="19" t="s">
        <v>479</v>
      </c>
      <c r="D65" s="4" t="str">
        <f t="shared" ref="D65:F65" si="124">DEC2HEX(HEX2DEC(C65)+152,7)</f>
        <v>21893E7</v>
      </c>
      <c r="E65" s="5" t="str">
        <f t="shared" si="124"/>
        <v>218947F</v>
      </c>
      <c r="F65" s="6" t="str">
        <f t="shared" si="124"/>
        <v>2189517</v>
      </c>
      <c r="G65" s="7" t="str">
        <f t="shared" ref="G65:J65" si="125">DEC2HEX(HEX2DEC(C65)+25040,7)</f>
        <v>218F51F</v>
      </c>
      <c r="H65" s="8" t="str">
        <f t="shared" si="125"/>
        <v>218F5B7</v>
      </c>
      <c r="I65" s="5" t="str">
        <f t="shared" si="125"/>
        <v>218F64F</v>
      </c>
      <c r="J65" s="9" t="str">
        <f t="shared" si="125"/>
        <v>218F6E7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45">
      <c r="A66" s="2" t="s">
        <v>241</v>
      </c>
      <c r="B66" s="2" t="s">
        <v>242</v>
      </c>
      <c r="C66" s="3">
        <v>2189350</v>
      </c>
      <c r="D66" s="4" t="str">
        <f t="shared" ref="D66:F66" si="126">DEC2HEX(HEX2DEC(C66)+152,7)</f>
        <v>21893E8</v>
      </c>
      <c r="E66" s="5" t="str">
        <f t="shared" si="126"/>
        <v>2189480</v>
      </c>
      <c r="F66" s="6" t="str">
        <f t="shared" si="126"/>
        <v>2189518</v>
      </c>
      <c r="G66" s="7" t="str">
        <f t="shared" ref="G66:J66" si="127">DEC2HEX(HEX2DEC(C66)+25040,7)</f>
        <v>218F520</v>
      </c>
      <c r="H66" s="8" t="str">
        <f t="shared" si="127"/>
        <v>218F5B8</v>
      </c>
      <c r="I66" s="5" t="str">
        <f t="shared" si="127"/>
        <v>218F650</v>
      </c>
      <c r="J66" s="9" t="str">
        <f t="shared" si="127"/>
        <v>218F6E8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45">
      <c r="A67" s="2" t="s">
        <v>243</v>
      </c>
      <c r="B67" s="2" t="s">
        <v>244</v>
      </c>
      <c r="C67" s="3">
        <v>2189351</v>
      </c>
      <c r="D67" s="4" t="str">
        <f t="shared" ref="D67:F67" si="128">DEC2HEX(HEX2DEC(C67)+152,7)</f>
        <v>21893E9</v>
      </c>
      <c r="E67" s="5" t="str">
        <f t="shared" si="128"/>
        <v>2189481</v>
      </c>
      <c r="F67" s="6" t="str">
        <f t="shared" si="128"/>
        <v>2189519</v>
      </c>
      <c r="G67" s="7" t="str">
        <f t="shared" ref="G67:J67" si="129">DEC2HEX(HEX2DEC(C67)+25040,7)</f>
        <v>218F521</v>
      </c>
      <c r="H67" s="8" t="str">
        <f t="shared" si="129"/>
        <v>218F5B9</v>
      </c>
      <c r="I67" s="5" t="str">
        <f t="shared" si="129"/>
        <v>218F651</v>
      </c>
      <c r="J67" s="9" t="str">
        <f t="shared" si="129"/>
        <v>218F6E9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x14ac:dyDescent="0.45">
      <c r="A68" s="2" t="s">
        <v>245</v>
      </c>
      <c r="B68" s="2" t="s">
        <v>246</v>
      </c>
      <c r="C68" s="3">
        <v>2189352</v>
      </c>
      <c r="D68" s="4" t="str">
        <f t="shared" ref="D68:F68" si="130">DEC2HEX(HEX2DEC(C68)+152,7)</f>
        <v>21893EA</v>
      </c>
      <c r="E68" s="5" t="str">
        <f t="shared" si="130"/>
        <v>2189482</v>
      </c>
      <c r="F68" s="6" t="str">
        <f t="shared" si="130"/>
        <v>218951A</v>
      </c>
      <c r="G68" s="7" t="str">
        <f t="shared" ref="G68:J68" si="131">DEC2HEX(HEX2DEC(C68)+25040,7)</f>
        <v>218F522</v>
      </c>
      <c r="H68" s="8" t="str">
        <f t="shared" si="131"/>
        <v>218F5BA</v>
      </c>
      <c r="I68" s="5" t="str">
        <f t="shared" si="131"/>
        <v>218F652</v>
      </c>
      <c r="J68" s="9" t="str">
        <f t="shared" si="131"/>
        <v>218F6EA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x14ac:dyDescent="0.45">
      <c r="A69" s="2" t="s">
        <v>247</v>
      </c>
      <c r="B69" s="2" t="s">
        <v>248</v>
      </c>
      <c r="C69" s="3">
        <v>2189353</v>
      </c>
      <c r="D69" s="4" t="str">
        <f t="shared" ref="D69:F69" si="132">DEC2HEX(HEX2DEC(C69)+152,7)</f>
        <v>21893EB</v>
      </c>
      <c r="E69" s="5" t="str">
        <f t="shared" si="132"/>
        <v>2189483</v>
      </c>
      <c r="F69" s="6" t="str">
        <f t="shared" si="132"/>
        <v>218951B</v>
      </c>
      <c r="G69" s="7" t="str">
        <f t="shared" ref="G69:J69" si="133">DEC2HEX(HEX2DEC(C69)+25040,7)</f>
        <v>218F523</v>
      </c>
      <c r="H69" s="8" t="str">
        <f t="shared" si="133"/>
        <v>218F5BB</v>
      </c>
      <c r="I69" s="5" t="str">
        <f t="shared" si="133"/>
        <v>218F653</v>
      </c>
      <c r="J69" s="9" t="str">
        <f t="shared" si="133"/>
        <v>218F6EB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x14ac:dyDescent="0.45">
      <c r="A70" s="2" t="s">
        <v>249</v>
      </c>
      <c r="B70" s="2" t="s">
        <v>250</v>
      </c>
      <c r="C70" s="3">
        <v>2189354</v>
      </c>
      <c r="D70" s="4" t="str">
        <f t="shared" ref="D70:F70" si="134">DEC2HEX(HEX2DEC(C70)+152,7)</f>
        <v>21893EC</v>
      </c>
      <c r="E70" s="5" t="str">
        <f t="shared" si="134"/>
        <v>2189484</v>
      </c>
      <c r="F70" s="6" t="str">
        <f t="shared" si="134"/>
        <v>218951C</v>
      </c>
      <c r="G70" s="7" t="str">
        <f t="shared" ref="G70:J70" si="135">DEC2HEX(HEX2DEC(C70)+25040,7)</f>
        <v>218F524</v>
      </c>
      <c r="H70" s="8" t="str">
        <f t="shared" si="135"/>
        <v>218F5BC</v>
      </c>
      <c r="I70" s="5" t="str">
        <f t="shared" si="135"/>
        <v>218F654</v>
      </c>
      <c r="J70" s="9" t="str">
        <f t="shared" si="135"/>
        <v>218F6EC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x14ac:dyDescent="0.45">
      <c r="A71" s="2" t="s">
        <v>251</v>
      </c>
      <c r="B71" s="2" t="s">
        <v>252</v>
      </c>
      <c r="C71" s="3">
        <v>2189355</v>
      </c>
      <c r="D71" s="4" t="str">
        <f t="shared" ref="D71:F71" si="136">DEC2HEX(HEX2DEC(C71)+152,7)</f>
        <v>21893ED</v>
      </c>
      <c r="E71" s="5" t="str">
        <f t="shared" si="136"/>
        <v>2189485</v>
      </c>
      <c r="F71" s="6" t="str">
        <f t="shared" si="136"/>
        <v>218951D</v>
      </c>
      <c r="G71" s="7" t="str">
        <f t="shared" ref="G71:J71" si="137">DEC2HEX(HEX2DEC(C71)+25040,7)</f>
        <v>218F525</v>
      </c>
      <c r="H71" s="8" t="str">
        <f t="shared" si="137"/>
        <v>218F5BD</v>
      </c>
      <c r="I71" s="5" t="str">
        <f t="shared" si="137"/>
        <v>218F655</v>
      </c>
      <c r="J71" s="9" t="str">
        <f t="shared" si="137"/>
        <v>218F6ED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x14ac:dyDescent="0.45">
      <c r="A72" s="2" t="s">
        <v>253</v>
      </c>
      <c r="B72" s="2" t="s">
        <v>254</v>
      </c>
      <c r="C72" s="3">
        <v>2189356</v>
      </c>
      <c r="D72" s="4" t="str">
        <f t="shared" ref="D72:F72" si="138">DEC2HEX(HEX2DEC(C72)+152,7)</f>
        <v>21893EE</v>
      </c>
      <c r="E72" s="5" t="str">
        <f t="shared" si="138"/>
        <v>2189486</v>
      </c>
      <c r="F72" s="6" t="str">
        <f t="shared" si="138"/>
        <v>218951E</v>
      </c>
      <c r="G72" s="7" t="str">
        <f t="shared" ref="G72:J72" si="139">DEC2HEX(HEX2DEC(C72)+25040,7)</f>
        <v>218F526</v>
      </c>
      <c r="H72" s="8" t="str">
        <f t="shared" si="139"/>
        <v>218F5BE</v>
      </c>
      <c r="I72" s="5" t="str">
        <f t="shared" si="139"/>
        <v>218F656</v>
      </c>
      <c r="J72" s="9" t="str">
        <f t="shared" si="139"/>
        <v>218F6EE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x14ac:dyDescent="0.45">
      <c r="A73" s="2" t="s">
        <v>255</v>
      </c>
      <c r="B73" s="2" t="s">
        <v>256</v>
      </c>
      <c r="C73" s="3">
        <v>2189357</v>
      </c>
      <c r="D73" s="4" t="str">
        <f t="shared" ref="D73:F73" si="140">DEC2HEX(HEX2DEC(C73)+152,7)</f>
        <v>21893EF</v>
      </c>
      <c r="E73" s="5" t="str">
        <f t="shared" si="140"/>
        <v>2189487</v>
      </c>
      <c r="F73" s="6" t="str">
        <f t="shared" si="140"/>
        <v>218951F</v>
      </c>
      <c r="G73" s="7" t="str">
        <f t="shared" ref="G73:J73" si="141">DEC2HEX(HEX2DEC(C73)+25040,7)</f>
        <v>218F527</v>
      </c>
      <c r="H73" s="8" t="str">
        <f t="shared" si="141"/>
        <v>218F5BF</v>
      </c>
      <c r="I73" s="5" t="str">
        <f t="shared" si="141"/>
        <v>218F657</v>
      </c>
      <c r="J73" s="9" t="str">
        <f t="shared" si="141"/>
        <v>218F6EF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45">
      <c r="A74" s="2" t="s">
        <v>257</v>
      </c>
      <c r="B74" s="2" t="s">
        <v>258</v>
      </c>
      <c r="C74" s="3">
        <v>2189358</v>
      </c>
      <c r="D74" s="4" t="str">
        <f t="shared" ref="D74:F74" si="142">DEC2HEX(HEX2DEC(C74)+152,7)</f>
        <v>21893F0</v>
      </c>
      <c r="E74" s="5" t="str">
        <f t="shared" si="142"/>
        <v>2189488</v>
      </c>
      <c r="F74" s="6" t="str">
        <f t="shared" si="142"/>
        <v>2189520</v>
      </c>
      <c r="G74" s="7" t="str">
        <f t="shared" ref="G74:J74" si="143">DEC2HEX(HEX2DEC(C74)+25040,7)</f>
        <v>218F528</v>
      </c>
      <c r="H74" s="8" t="str">
        <f t="shared" si="143"/>
        <v>218F5C0</v>
      </c>
      <c r="I74" s="5" t="str">
        <f t="shared" si="143"/>
        <v>218F658</v>
      </c>
      <c r="J74" s="9" t="str">
        <f t="shared" si="143"/>
        <v>218F6F0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x14ac:dyDescent="0.45">
      <c r="A75" s="2" t="s">
        <v>259</v>
      </c>
      <c r="B75" s="2" t="s">
        <v>260</v>
      </c>
      <c r="C75" s="3">
        <v>2189359</v>
      </c>
      <c r="D75" s="4" t="str">
        <f t="shared" ref="D75:F75" si="144">DEC2HEX(HEX2DEC(C75)+152,7)</f>
        <v>21893F1</v>
      </c>
      <c r="E75" s="5" t="str">
        <f t="shared" si="144"/>
        <v>2189489</v>
      </c>
      <c r="F75" s="6" t="str">
        <f t="shared" si="144"/>
        <v>2189521</v>
      </c>
      <c r="G75" s="7" t="str">
        <f t="shared" ref="G75:J75" si="145">DEC2HEX(HEX2DEC(C75)+25040,7)</f>
        <v>218F529</v>
      </c>
      <c r="H75" s="8" t="str">
        <f t="shared" si="145"/>
        <v>218F5C1</v>
      </c>
      <c r="I75" s="5" t="str">
        <f t="shared" si="145"/>
        <v>218F659</v>
      </c>
      <c r="J75" s="9" t="str">
        <f t="shared" si="145"/>
        <v>218F6F1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x14ac:dyDescent="0.45">
      <c r="A76" s="2" t="s">
        <v>261</v>
      </c>
      <c r="B76" s="2" t="s">
        <v>262</v>
      </c>
      <c r="C76" s="19" t="s">
        <v>480</v>
      </c>
      <c r="D76" s="4" t="str">
        <f t="shared" ref="D76:F76" si="146">DEC2HEX(HEX2DEC(C76)+152,7)</f>
        <v>21893F2</v>
      </c>
      <c r="E76" s="5" t="str">
        <f t="shared" si="146"/>
        <v>218948A</v>
      </c>
      <c r="F76" s="6" t="str">
        <f t="shared" si="146"/>
        <v>2189522</v>
      </c>
      <c r="G76" s="7" t="str">
        <f t="shared" ref="G76:J76" si="147">DEC2HEX(HEX2DEC(C76)+25040,7)</f>
        <v>218F52A</v>
      </c>
      <c r="H76" s="8" t="str">
        <f t="shared" si="147"/>
        <v>218F5C2</v>
      </c>
      <c r="I76" s="5" t="str">
        <f t="shared" si="147"/>
        <v>218F65A</v>
      </c>
      <c r="J76" s="9" t="str">
        <f t="shared" si="147"/>
        <v>218F6F2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x14ac:dyDescent="0.45">
      <c r="A77" s="2" t="s">
        <v>263</v>
      </c>
      <c r="B77" s="2" t="s">
        <v>264</v>
      </c>
      <c r="C77" s="19" t="s">
        <v>481</v>
      </c>
      <c r="D77" s="4" t="str">
        <f t="shared" ref="D77:F77" si="148">DEC2HEX(HEX2DEC(C77)+152,7)</f>
        <v>21893F3</v>
      </c>
      <c r="E77" s="5" t="str">
        <f t="shared" si="148"/>
        <v>218948B</v>
      </c>
      <c r="F77" s="6" t="str">
        <f t="shared" si="148"/>
        <v>2189523</v>
      </c>
      <c r="G77" s="7" t="str">
        <f t="shared" ref="G77:J77" si="149">DEC2HEX(HEX2DEC(C77)+25040,7)</f>
        <v>218F52B</v>
      </c>
      <c r="H77" s="8" t="str">
        <f t="shared" si="149"/>
        <v>218F5C3</v>
      </c>
      <c r="I77" s="5" t="str">
        <f t="shared" si="149"/>
        <v>218F65B</v>
      </c>
      <c r="J77" s="9" t="str">
        <f t="shared" si="149"/>
        <v>218F6F3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x14ac:dyDescent="0.45">
      <c r="A78" s="2" t="s">
        <v>265</v>
      </c>
      <c r="B78" s="2" t="s">
        <v>266</v>
      </c>
      <c r="C78" s="19" t="s">
        <v>482</v>
      </c>
      <c r="D78" s="4" t="str">
        <f t="shared" ref="D78:F78" si="150">DEC2HEX(HEX2DEC(C78)+152,7)</f>
        <v>21893F4</v>
      </c>
      <c r="E78" s="5" t="str">
        <f t="shared" si="150"/>
        <v>218948C</v>
      </c>
      <c r="F78" s="6" t="str">
        <f t="shared" si="150"/>
        <v>2189524</v>
      </c>
      <c r="G78" s="7" t="str">
        <f t="shared" ref="G78:J78" si="151">DEC2HEX(HEX2DEC(C78)+25040,7)</f>
        <v>218F52C</v>
      </c>
      <c r="H78" s="8" t="str">
        <f t="shared" si="151"/>
        <v>218F5C4</v>
      </c>
      <c r="I78" s="5" t="str">
        <f t="shared" si="151"/>
        <v>218F65C</v>
      </c>
      <c r="J78" s="9" t="str">
        <f t="shared" si="151"/>
        <v>218F6F4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x14ac:dyDescent="0.45">
      <c r="A79" s="2" t="s">
        <v>267</v>
      </c>
      <c r="B79" s="2" t="s">
        <v>268</v>
      </c>
      <c r="C79" s="19" t="s">
        <v>483</v>
      </c>
      <c r="D79" s="4" t="str">
        <f t="shared" ref="D79:F79" si="152">DEC2HEX(HEX2DEC(C79)+152,7)</f>
        <v>21893F5</v>
      </c>
      <c r="E79" s="5" t="str">
        <f t="shared" si="152"/>
        <v>218948D</v>
      </c>
      <c r="F79" s="6" t="str">
        <f t="shared" si="152"/>
        <v>2189525</v>
      </c>
      <c r="G79" s="7" t="str">
        <f t="shared" ref="G79:J79" si="153">DEC2HEX(HEX2DEC(C79)+25040,7)</f>
        <v>218F52D</v>
      </c>
      <c r="H79" s="8" t="str">
        <f t="shared" si="153"/>
        <v>218F5C5</v>
      </c>
      <c r="I79" s="5" t="str">
        <f t="shared" si="153"/>
        <v>218F65D</v>
      </c>
      <c r="J79" s="9" t="str">
        <f t="shared" si="153"/>
        <v>218F6F5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x14ac:dyDescent="0.45">
      <c r="A80" s="2" t="s">
        <v>269</v>
      </c>
      <c r="B80" s="2" t="s">
        <v>270</v>
      </c>
      <c r="C80" s="19" t="s">
        <v>484</v>
      </c>
      <c r="D80" s="4" t="str">
        <f t="shared" ref="D80:F80" si="154">DEC2HEX(HEX2DEC(C80)+152,7)</f>
        <v>21893F6</v>
      </c>
      <c r="E80" s="5" t="str">
        <f t="shared" si="154"/>
        <v>218948E</v>
      </c>
      <c r="F80" s="6" t="str">
        <f t="shared" si="154"/>
        <v>2189526</v>
      </c>
      <c r="G80" s="7" t="str">
        <f t="shared" ref="G80:J80" si="155">DEC2HEX(HEX2DEC(C80)+25040,7)</f>
        <v>218F52E</v>
      </c>
      <c r="H80" s="8" t="str">
        <f t="shared" si="155"/>
        <v>218F5C6</v>
      </c>
      <c r="I80" s="5" t="str">
        <f t="shared" si="155"/>
        <v>218F65E</v>
      </c>
      <c r="J80" s="9" t="str">
        <f t="shared" si="155"/>
        <v>218F6F6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x14ac:dyDescent="0.45">
      <c r="A81" s="2" t="s">
        <v>271</v>
      </c>
      <c r="B81" s="2" t="s">
        <v>272</v>
      </c>
      <c r="C81" s="19" t="s">
        <v>485</v>
      </c>
      <c r="D81" s="4" t="str">
        <f t="shared" ref="D81:F81" si="156">DEC2HEX(HEX2DEC(C81)+152,7)</f>
        <v>21893F7</v>
      </c>
      <c r="E81" s="5" t="str">
        <f t="shared" si="156"/>
        <v>218948F</v>
      </c>
      <c r="F81" s="6" t="str">
        <f t="shared" si="156"/>
        <v>2189527</v>
      </c>
      <c r="G81" s="7" t="str">
        <f t="shared" ref="G81:J81" si="157">DEC2HEX(HEX2DEC(C81)+25040,7)</f>
        <v>218F52F</v>
      </c>
      <c r="H81" s="8" t="str">
        <f t="shared" si="157"/>
        <v>218F5C7</v>
      </c>
      <c r="I81" s="5" t="str">
        <f t="shared" si="157"/>
        <v>218F65F</v>
      </c>
      <c r="J81" s="9" t="str">
        <f t="shared" si="157"/>
        <v>218F6F7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x14ac:dyDescent="0.45">
      <c r="A82" s="2" t="s">
        <v>273</v>
      </c>
      <c r="B82" s="2" t="s">
        <v>274</v>
      </c>
      <c r="C82" s="3">
        <v>2189360</v>
      </c>
      <c r="D82" s="4" t="str">
        <f t="shared" ref="D82:F82" si="158">DEC2HEX(HEX2DEC(C82)+152,7)</f>
        <v>21893F8</v>
      </c>
      <c r="E82" s="5" t="str">
        <f t="shared" si="158"/>
        <v>2189490</v>
      </c>
      <c r="F82" s="6" t="str">
        <f t="shared" si="158"/>
        <v>2189528</v>
      </c>
      <c r="G82" s="7" t="str">
        <f t="shared" ref="G82:J82" si="159">DEC2HEX(HEX2DEC(C82)+25040,7)</f>
        <v>218F530</v>
      </c>
      <c r="H82" s="8" t="str">
        <f t="shared" si="159"/>
        <v>218F5C8</v>
      </c>
      <c r="I82" s="5" t="str">
        <f t="shared" si="159"/>
        <v>218F660</v>
      </c>
      <c r="J82" s="9" t="str">
        <f t="shared" si="159"/>
        <v>218F6F8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x14ac:dyDescent="0.45">
      <c r="A83" s="2" t="s">
        <v>275</v>
      </c>
      <c r="B83" s="2" t="s">
        <v>276</v>
      </c>
      <c r="C83" s="3">
        <v>2189361</v>
      </c>
      <c r="D83" s="4" t="str">
        <f t="shared" ref="D83:F83" si="160">DEC2HEX(HEX2DEC(C83)+152,7)</f>
        <v>21893F9</v>
      </c>
      <c r="E83" s="5" t="str">
        <f t="shared" si="160"/>
        <v>2189491</v>
      </c>
      <c r="F83" s="6" t="str">
        <f t="shared" si="160"/>
        <v>2189529</v>
      </c>
      <c r="G83" s="7" t="str">
        <f t="shared" ref="G83:J83" si="161">DEC2HEX(HEX2DEC(C83)+25040,7)</f>
        <v>218F531</v>
      </c>
      <c r="H83" s="8" t="str">
        <f t="shared" si="161"/>
        <v>218F5C9</v>
      </c>
      <c r="I83" s="5" t="str">
        <f t="shared" si="161"/>
        <v>218F661</v>
      </c>
      <c r="J83" s="9" t="str">
        <f t="shared" si="161"/>
        <v>218F6F9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x14ac:dyDescent="0.45">
      <c r="A84" s="2" t="s">
        <v>277</v>
      </c>
      <c r="B84" s="2" t="s">
        <v>278</v>
      </c>
      <c r="C84" s="3">
        <v>2189362</v>
      </c>
      <c r="D84" s="4" t="str">
        <f t="shared" ref="D84:F84" si="162">DEC2HEX(HEX2DEC(C84)+152,7)</f>
        <v>21893FA</v>
      </c>
      <c r="E84" s="5" t="str">
        <f t="shared" si="162"/>
        <v>2189492</v>
      </c>
      <c r="F84" s="6" t="str">
        <f t="shared" si="162"/>
        <v>218952A</v>
      </c>
      <c r="G84" s="7" t="str">
        <f t="shared" ref="G84:J84" si="163">DEC2HEX(HEX2DEC(C84)+25040,7)</f>
        <v>218F532</v>
      </c>
      <c r="H84" s="8" t="str">
        <f t="shared" si="163"/>
        <v>218F5CA</v>
      </c>
      <c r="I84" s="5" t="str">
        <f t="shared" si="163"/>
        <v>218F662</v>
      </c>
      <c r="J84" s="9" t="str">
        <f t="shared" si="163"/>
        <v>218F6FA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x14ac:dyDescent="0.45">
      <c r="A85" s="2" t="s">
        <v>279</v>
      </c>
      <c r="B85" s="2" t="s">
        <v>280</v>
      </c>
      <c r="C85" s="3">
        <v>2189363</v>
      </c>
      <c r="D85" s="4" t="str">
        <f t="shared" ref="D85:F85" si="164">DEC2HEX(HEX2DEC(C85)+152,7)</f>
        <v>21893FB</v>
      </c>
      <c r="E85" s="5" t="str">
        <f t="shared" si="164"/>
        <v>2189493</v>
      </c>
      <c r="F85" s="6" t="str">
        <f t="shared" si="164"/>
        <v>218952B</v>
      </c>
      <c r="G85" s="7" t="str">
        <f t="shared" ref="G85:J85" si="165">DEC2HEX(HEX2DEC(C85)+25040,7)</f>
        <v>218F533</v>
      </c>
      <c r="H85" s="8" t="str">
        <f t="shared" si="165"/>
        <v>218F5CB</v>
      </c>
      <c r="I85" s="5" t="str">
        <f t="shared" si="165"/>
        <v>218F663</v>
      </c>
      <c r="J85" s="9" t="str">
        <f t="shared" si="165"/>
        <v>218F6FB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x14ac:dyDescent="0.45">
      <c r="A86" s="2" t="s">
        <v>281</v>
      </c>
      <c r="B86" s="2" t="s">
        <v>282</v>
      </c>
      <c r="C86" s="3">
        <v>2189364</v>
      </c>
      <c r="D86" s="4" t="str">
        <f t="shared" ref="D86:F86" si="166">DEC2HEX(HEX2DEC(C86)+152,7)</f>
        <v>21893FC</v>
      </c>
      <c r="E86" s="5" t="str">
        <f t="shared" si="166"/>
        <v>2189494</v>
      </c>
      <c r="F86" s="6" t="str">
        <f t="shared" si="166"/>
        <v>218952C</v>
      </c>
      <c r="G86" s="7" t="str">
        <f t="shared" ref="G86:J86" si="167">DEC2HEX(HEX2DEC(C86)+25040,7)</f>
        <v>218F534</v>
      </c>
      <c r="H86" s="8" t="str">
        <f t="shared" si="167"/>
        <v>218F5CC</v>
      </c>
      <c r="I86" s="5" t="str">
        <f t="shared" si="167"/>
        <v>218F664</v>
      </c>
      <c r="J86" s="9" t="str">
        <f t="shared" si="167"/>
        <v>218F6FC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x14ac:dyDescent="0.45">
      <c r="A87" s="2" t="s">
        <v>283</v>
      </c>
      <c r="B87" s="2" t="s">
        <v>284</v>
      </c>
      <c r="C87" s="3">
        <v>2189365</v>
      </c>
      <c r="D87" s="4" t="str">
        <f t="shared" ref="D87:F87" si="168">DEC2HEX(HEX2DEC(C87)+152,7)</f>
        <v>21893FD</v>
      </c>
      <c r="E87" s="5" t="str">
        <f t="shared" si="168"/>
        <v>2189495</v>
      </c>
      <c r="F87" s="6" t="str">
        <f t="shared" si="168"/>
        <v>218952D</v>
      </c>
      <c r="G87" s="7" t="str">
        <f t="shared" ref="G87:J87" si="169">DEC2HEX(HEX2DEC(C87)+25040,7)</f>
        <v>218F535</v>
      </c>
      <c r="H87" s="8" t="str">
        <f t="shared" si="169"/>
        <v>218F5CD</v>
      </c>
      <c r="I87" s="5" t="str">
        <f t="shared" si="169"/>
        <v>218F665</v>
      </c>
      <c r="J87" s="9" t="str">
        <f t="shared" si="169"/>
        <v>218F6FD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x14ac:dyDescent="0.45">
      <c r="A88" s="2" t="s">
        <v>285</v>
      </c>
      <c r="B88" s="2" t="s">
        <v>286</v>
      </c>
      <c r="C88" s="3">
        <v>2189366</v>
      </c>
      <c r="D88" s="4" t="str">
        <f t="shared" ref="D88:F88" si="170">DEC2HEX(HEX2DEC(C88)+152,7)</f>
        <v>21893FE</v>
      </c>
      <c r="E88" s="5" t="str">
        <f t="shared" si="170"/>
        <v>2189496</v>
      </c>
      <c r="F88" s="6" t="str">
        <f t="shared" si="170"/>
        <v>218952E</v>
      </c>
      <c r="G88" s="7" t="str">
        <f t="shared" ref="G88:J88" si="171">DEC2HEX(HEX2DEC(C88)+25040,7)</f>
        <v>218F536</v>
      </c>
      <c r="H88" s="8" t="str">
        <f t="shared" si="171"/>
        <v>218F5CE</v>
      </c>
      <c r="I88" s="5" t="str">
        <f t="shared" si="171"/>
        <v>218F666</v>
      </c>
      <c r="J88" s="9" t="str">
        <f t="shared" si="171"/>
        <v>218F6FE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x14ac:dyDescent="0.45">
      <c r="A89" s="2" t="s">
        <v>287</v>
      </c>
      <c r="B89" s="2" t="s">
        <v>288</v>
      </c>
      <c r="C89" s="3">
        <v>2189367</v>
      </c>
      <c r="D89" s="4" t="str">
        <f t="shared" ref="D89:F89" si="172">DEC2HEX(HEX2DEC(C89)+152,7)</f>
        <v>21893FF</v>
      </c>
      <c r="E89" s="5" t="str">
        <f t="shared" si="172"/>
        <v>2189497</v>
      </c>
      <c r="F89" s="6" t="str">
        <f t="shared" si="172"/>
        <v>218952F</v>
      </c>
      <c r="G89" s="7" t="str">
        <f t="shared" ref="G89:J89" si="173">DEC2HEX(HEX2DEC(C89)+25040,7)</f>
        <v>218F537</v>
      </c>
      <c r="H89" s="8" t="str">
        <f t="shared" si="173"/>
        <v>218F5CF</v>
      </c>
      <c r="I89" s="5" t="str">
        <f t="shared" si="173"/>
        <v>218F667</v>
      </c>
      <c r="J89" s="9" t="str">
        <f t="shared" si="173"/>
        <v>218F6FF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x14ac:dyDescent="0.45">
      <c r="A90" s="2" t="s">
        <v>289</v>
      </c>
      <c r="B90" s="2" t="s">
        <v>290</v>
      </c>
      <c r="C90" s="3">
        <v>2189368</v>
      </c>
      <c r="D90" s="4" t="str">
        <f t="shared" ref="D90:F90" si="174">DEC2HEX(HEX2DEC(C90)+152,7)</f>
        <v>2189400</v>
      </c>
      <c r="E90" s="5" t="str">
        <f t="shared" si="174"/>
        <v>2189498</v>
      </c>
      <c r="F90" s="6" t="str">
        <f t="shared" si="174"/>
        <v>2189530</v>
      </c>
      <c r="G90" s="7" t="str">
        <f t="shared" ref="G90:J90" si="175">DEC2HEX(HEX2DEC(C90)+25040,7)</f>
        <v>218F538</v>
      </c>
      <c r="H90" s="8" t="str">
        <f t="shared" si="175"/>
        <v>218F5D0</v>
      </c>
      <c r="I90" s="5" t="str">
        <f t="shared" si="175"/>
        <v>218F668</v>
      </c>
      <c r="J90" s="9" t="str">
        <f t="shared" si="175"/>
        <v>218F700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x14ac:dyDescent="0.45">
      <c r="A91" s="2" t="s">
        <v>291</v>
      </c>
      <c r="B91" s="2" t="s">
        <v>292</v>
      </c>
      <c r="C91" s="3">
        <v>2189369</v>
      </c>
      <c r="D91" s="4" t="str">
        <f t="shared" ref="D91:F91" si="176">DEC2HEX(HEX2DEC(C91)+152,7)</f>
        <v>2189401</v>
      </c>
      <c r="E91" s="5" t="str">
        <f t="shared" si="176"/>
        <v>2189499</v>
      </c>
      <c r="F91" s="6" t="str">
        <f t="shared" si="176"/>
        <v>2189531</v>
      </c>
      <c r="G91" s="7" t="str">
        <f t="shared" ref="G91:J91" si="177">DEC2HEX(HEX2DEC(C91)+25040,7)</f>
        <v>218F539</v>
      </c>
      <c r="H91" s="8" t="str">
        <f t="shared" si="177"/>
        <v>218F5D1</v>
      </c>
      <c r="I91" s="5" t="str">
        <f t="shared" si="177"/>
        <v>218F669</v>
      </c>
      <c r="J91" s="9" t="str">
        <f t="shared" si="177"/>
        <v>218F701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x14ac:dyDescent="0.45">
      <c r="A92" s="2" t="s">
        <v>293</v>
      </c>
      <c r="B92" s="2" t="s">
        <v>294</v>
      </c>
      <c r="C92" s="19" t="s">
        <v>486</v>
      </c>
      <c r="D92" s="4" t="str">
        <f t="shared" ref="D92:F92" si="178">DEC2HEX(HEX2DEC(C92)+152,7)</f>
        <v>2189402</v>
      </c>
      <c r="E92" s="5" t="str">
        <f t="shared" si="178"/>
        <v>218949A</v>
      </c>
      <c r="F92" s="6" t="str">
        <f t="shared" si="178"/>
        <v>2189532</v>
      </c>
      <c r="G92" s="7" t="str">
        <f t="shared" ref="G92:J92" si="179">DEC2HEX(HEX2DEC(C92)+25040,7)</f>
        <v>218F53A</v>
      </c>
      <c r="H92" s="8" t="str">
        <f t="shared" si="179"/>
        <v>218F5D2</v>
      </c>
      <c r="I92" s="5" t="str">
        <f t="shared" si="179"/>
        <v>218F66A</v>
      </c>
      <c r="J92" s="9" t="str">
        <f t="shared" si="179"/>
        <v>218F702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x14ac:dyDescent="0.45">
      <c r="A93" s="2" t="s">
        <v>295</v>
      </c>
      <c r="B93" s="2" t="s">
        <v>296</v>
      </c>
      <c r="C93" s="19" t="s">
        <v>487</v>
      </c>
      <c r="D93" s="4" t="str">
        <f t="shared" ref="D93:F93" si="180">DEC2HEX(HEX2DEC(C93)+152,7)</f>
        <v>2189403</v>
      </c>
      <c r="E93" s="5" t="str">
        <f t="shared" si="180"/>
        <v>218949B</v>
      </c>
      <c r="F93" s="6" t="str">
        <f t="shared" si="180"/>
        <v>2189533</v>
      </c>
      <c r="G93" s="7" t="str">
        <f t="shared" ref="G93:J93" si="181">DEC2HEX(HEX2DEC(C93)+25040,7)</f>
        <v>218F53B</v>
      </c>
      <c r="H93" s="8" t="str">
        <f t="shared" si="181"/>
        <v>218F5D3</v>
      </c>
      <c r="I93" s="5" t="str">
        <f t="shared" si="181"/>
        <v>218F66B</v>
      </c>
      <c r="J93" s="9" t="str">
        <f t="shared" si="181"/>
        <v>218F703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45">
      <c r="A94" s="2" t="s">
        <v>297</v>
      </c>
      <c r="B94" s="18" t="s">
        <v>2040</v>
      </c>
      <c r="C94" s="19" t="s">
        <v>488</v>
      </c>
      <c r="D94" s="4" t="str">
        <f t="shared" ref="D94:F94" si="182">DEC2HEX(HEX2DEC(C94)+152,7)</f>
        <v>2189404</v>
      </c>
      <c r="E94" s="5" t="str">
        <f t="shared" si="182"/>
        <v>218949C</v>
      </c>
      <c r="F94" s="6" t="str">
        <f t="shared" si="182"/>
        <v>2189534</v>
      </c>
      <c r="G94" s="7" t="str">
        <f t="shared" ref="G94:J94" si="183">DEC2HEX(HEX2DEC(C94)+25040,7)</f>
        <v>218F53C</v>
      </c>
      <c r="H94" s="8" t="str">
        <f t="shared" si="183"/>
        <v>218F5D4</v>
      </c>
      <c r="I94" s="5" t="str">
        <f t="shared" si="183"/>
        <v>218F66C</v>
      </c>
      <c r="J94" s="9" t="str">
        <f t="shared" si="183"/>
        <v>218F704</v>
      </c>
      <c r="K94" s="2"/>
      <c r="L94" s="18" t="s">
        <v>2047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x14ac:dyDescent="0.45">
      <c r="A95" s="2" t="s">
        <v>298</v>
      </c>
      <c r="B95" s="18" t="s">
        <v>2041</v>
      </c>
      <c r="C95" s="3">
        <v>2189370</v>
      </c>
      <c r="D95" s="4" t="str">
        <f t="shared" ref="D95:F95" si="184">DEC2HEX(HEX2DEC(C95)+152,7)</f>
        <v>2189408</v>
      </c>
      <c r="E95" s="5" t="str">
        <f t="shared" si="184"/>
        <v>21894A0</v>
      </c>
      <c r="F95" s="6" t="str">
        <f t="shared" si="184"/>
        <v>2189538</v>
      </c>
      <c r="G95" s="7" t="str">
        <f t="shared" ref="G95:J95" si="185">DEC2HEX(HEX2DEC(C95)+25040,7)</f>
        <v>218F540</v>
      </c>
      <c r="H95" s="8" t="str">
        <f t="shared" si="185"/>
        <v>218F5D8</v>
      </c>
      <c r="I95" s="5" t="str">
        <f t="shared" si="185"/>
        <v>218F670</v>
      </c>
      <c r="J95" s="9" t="str">
        <f t="shared" si="185"/>
        <v>218F708</v>
      </c>
      <c r="K95" s="2"/>
      <c r="L95" s="18" t="s">
        <v>2048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x14ac:dyDescent="0.45">
      <c r="A96" s="2" t="s">
        <v>299</v>
      </c>
      <c r="B96" s="18" t="s">
        <v>489</v>
      </c>
      <c r="C96" s="3">
        <v>2189374</v>
      </c>
      <c r="D96" s="4" t="str">
        <f t="shared" ref="D96:F96" si="186">DEC2HEX(HEX2DEC(C96)+152,7)</f>
        <v>218940C</v>
      </c>
      <c r="E96" s="5" t="str">
        <f t="shared" si="186"/>
        <v>21894A4</v>
      </c>
      <c r="F96" s="6" t="str">
        <f t="shared" si="186"/>
        <v>218953C</v>
      </c>
      <c r="G96" s="7" t="str">
        <f t="shared" ref="G96:J96" si="187">DEC2HEX(HEX2DEC(C96)+25040,7)</f>
        <v>218F544</v>
      </c>
      <c r="H96" s="8" t="str">
        <f t="shared" si="187"/>
        <v>218F5DC</v>
      </c>
      <c r="I96" s="5" t="str">
        <f t="shared" si="187"/>
        <v>218F674</v>
      </c>
      <c r="J96" s="9" t="str">
        <f t="shared" si="187"/>
        <v>218F70C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x14ac:dyDescent="0.45">
      <c r="A97" s="2" t="s">
        <v>300</v>
      </c>
      <c r="B97" s="2" t="s">
        <v>301</v>
      </c>
      <c r="C97" s="3">
        <v>2189384</v>
      </c>
      <c r="D97" s="4" t="str">
        <f t="shared" ref="D97:F97" si="188">DEC2HEX(HEX2DEC(C97)+152,7)</f>
        <v>218941C</v>
      </c>
      <c r="E97" s="5" t="str">
        <f t="shared" si="188"/>
        <v>21894B4</v>
      </c>
      <c r="F97" s="6" t="str">
        <f t="shared" si="188"/>
        <v>218954C</v>
      </c>
      <c r="G97" s="7" t="str">
        <f t="shared" ref="G97:J97" si="189">DEC2HEX(HEX2DEC(C97)+25040,7)</f>
        <v>218F554</v>
      </c>
      <c r="H97" s="8" t="str">
        <f t="shared" si="189"/>
        <v>218F5EC</v>
      </c>
      <c r="I97" s="5" t="str">
        <f t="shared" si="189"/>
        <v>218F684</v>
      </c>
      <c r="J97" s="9" t="str">
        <f t="shared" si="189"/>
        <v>218F71C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x14ac:dyDescent="0.45">
      <c r="A98" s="2" t="s">
        <v>302</v>
      </c>
      <c r="B98" s="18" t="s">
        <v>2042</v>
      </c>
      <c r="C98" s="3">
        <v>2189394</v>
      </c>
      <c r="D98" s="4" t="str">
        <f t="shared" ref="D98:F98" si="190">DEC2HEX(HEX2DEC(C98)+152,7)</f>
        <v>218942C</v>
      </c>
      <c r="E98" s="5" t="str">
        <f t="shared" si="190"/>
        <v>21894C4</v>
      </c>
      <c r="F98" s="6" t="str">
        <f t="shared" si="190"/>
        <v>218955C</v>
      </c>
      <c r="G98" s="7" t="str">
        <f t="shared" ref="G98:J98" si="191">DEC2HEX(HEX2DEC(C98)+25040,7)</f>
        <v>218F564</v>
      </c>
      <c r="H98" s="8" t="str">
        <f t="shared" si="191"/>
        <v>218F5FC</v>
      </c>
      <c r="I98" s="5" t="str">
        <f t="shared" si="191"/>
        <v>218F694</v>
      </c>
      <c r="J98" s="9" t="str">
        <f t="shared" si="191"/>
        <v>218F72C</v>
      </c>
      <c r="K98" s="2"/>
      <c r="L98" s="2" t="s">
        <v>2043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x14ac:dyDescent="0.45">
      <c r="A99" s="2"/>
      <c r="B99" s="2"/>
      <c r="C99" s="10"/>
      <c r="D99" s="4"/>
      <c r="E99" s="5"/>
      <c r="F99" s="6"/>
      <c r="G99" s="7"/>
      <c r="H99" s="8"/>
      <c r="I99" s="5"/>
      <c r="J99" s="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x14ac:dyDescent="0.45">
      <c r="A100" s="2"/>
      <c r="B100" s="2" t="s">
        <v>303</v>
      </c>
      <c r="C100" s="2"/>
      <c r="D100" s="4"/>
      <c r="E100" s="5"/>
      <c r="F100" s="6"/>
      <c r="G100" s="7"/>
      <c r="H100" s="8"/>
      <c r="I100" s="5"/>
      <c r="J100" s="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x14ac:dyDescent="0.45">
      <c r="A101" s="2"/>
      <c r="B101" s="2" t="s">
        <v>304</v>
      </c>
      <c r="C101" s="2" t="s">
        <v>305</v>
      </c>
      <c r="D101" s="2" t="s">
        <v>306</v>
      </c>
      <c r="E101" s="2" t="s">
        <v>307</v>
      </c>
      <c r="F101" s="2" t="s">
        <v>308</v>
      </c>
      <c r="G101" s="7"/>
      <c r="H101" s="8"/>
      <c r="I101" s="5"/>
      <c r="J101" s="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x14ac:dyDescent="0.45">
      <c r="A102" s="2"/>
      <c r="B102" s="2" t="s">
        <v>309</v>
      </c>
      <c r="C102" s="2" t="s">
        <v>310</v>
      </c>
      <c r="D102" s="2" t="s">
        <v>311</v>
      </c>
      <c r="E102" s="2" t="s">
        <v>312</v>
      </c>
      <c r="F102" s="2" t="s">
        <v>313</v>
      </c>
      <c r="G102" s="7"/>
      <c r="H102" s="8"/>
      <c r="I102" s="5"/>
      <c r="J102" s="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45">
      <c r="A103" s="2"/>
      <c r="B103" s="2" t="s">
        <v>314</v>
      </c>
      <c r="C103" s="2" t="s">
        <v>315</v>
      </c>
      <c r="D103" s="2" t="s">
        <v>316</v>
      </c>
      <c r="E103" s="2" t="s">
        <v>317</v>
      </c>
      <c r="F103" s="6"/>
      <c r="G103" s="7"/>
      <c r="H103" s="8"/>
      <c r="I103" s="5"/>
      <c r="J103" s="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x14ac:dyDescent="0.45">
      <c r="A104" s="2"/>
      <c r="B104" s="2" t="s">
        <v>318</v>
      </c>
      <c r="C104" s="2" t="s">
        <v>319</v>
      </c>
      <c r="D104" s="4"/>
      <c r="E104" s="5"/>
      <c r="F104" s="6"/>
      <c r="G104" s="7"/>
      <c r="H104" s="8"/>
      <c r="I104" s="5"/>
      <c r="J104" s="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x14ac:dyDescent="0.45">
      <c r="A105" s="2"/>
      <c r="B105" s="2" t="s">
        <v>320</v>
      </c>
      <c r="C105" s="2" t="s">
        <v>321</v>
      </c>
      <c r="D105" s="4"/>
      <c r="E105" s="5"/>
      <c r="F105" s="6"/>
      <c r="G105" s="7"/>
      <c r="H105" s="8"/>
      <c r="I105" s="5"/>
      <c r="J105" s="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x14ac:dyDescent="0.45">
      <c r="A106" s="2"/>
      <c r="B106" s="2" t="s">
        <v>322</v>
      </c>
      <c r="C106" s="2" t="s">
        <v>323</v>
      </c>
      <c r="D106" s="4"/>
      <c r="E106" s="5"/>
      <c r="F106" s="6"/>
      <c r="G106" s="7"/>
      <c r="H106" s="8"/>
      <c r="I106" s="5"/>
      <c r="J106" s="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x14ac:dyDescent="0.45">
      <c r="A107" s="2"/>
      <c r="B107" s="2" t="s">
        <v>324</v>
      </c>
      <c r="C107" s="2" t="s">
        <v>325</v>
      </c>
      <c r="D107" s="4"/>
      <c r="E107" s="5"/>
      <c r="F107" s="6"/>
      <c r="G107" s="7"/>
      <c r="H107" s="8"/>
      <c r="I107" s="5"/>
      <c r="J107" s="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x14ac:dyDescent="0.45">
      <c r="A108" s="2"/>
      <c r="B108" s="2"/>
      <c r="C108" s="3"/>
      <c r="D108" s="4"/>
      <c r="E108" s="5"/>
      <c r="F108" s="6"/>
      <c r="G108" s="7"/>
      <c r="H108" s="8"/>
      <c r="I108" s="5"/>
      <c r="J108" s="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x14ac:dyDescent="0.45">
      <c r="A109" s="2"/>
      <c r="B109" s="2"/>
      <c r="C109" s="3"/>
      <c r="D109" s="4"/>
      <c r="E109" s="5"/>
      <c r="F109" s="6"/>
      <c r="G109" s="7"/>
      <c r="H109" s="8"/>
      <c r="I109" s="5"/>
      <c r="J109" s="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x14ac:dyDescent="0.45">
      <c r="A110" s="2"/>
      <c r="B110" s="2"/>
      <c r="C110" s="3"/>
      <c r="D110" s="4"/>
      <c r="E110" s="5"/>
      <c r="F110" s="6"/>
      <c r="G110" s="7"/>
      <c r="H110" s="8"/>
      <c r="I110" s="5"/>
      <c r="J110" s="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x14ac:dyDescent="0.45">
      <c r="A111" s="2"/>
      <c r="B111" s="2"/>
      <c r="C111" s="3"/>
      <c r="D111" s="4"/>
      <c r="E111" s="5"/>
      <c r="F111" s="6"/>
      <c r="G111" s="7"/>
      <c r="H111" s="8"/>
      <c r="I111" s="5"/>
      <c r="J111" s="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x14ac:dyDescent="0.45">
      <c r="A112" s="2"/>
      <c r="B112" s="2"/>
      <c r="C112" s="3"/>
      <c r="D112" s="4"/>
      <c r="E112" s="5"/>
      <c r="F112" s="6"/>
      <c r="G112" s="7"/>
      <c r="H112" s="8"/>
      <c r="I112" s="5"/>
      <c r="J112" s="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x14ac:dyDescent="0.45">
      <c r="A113" s="2"/>
      <c r="B113" s="2"/>
      <c r="C113" s="3"/>
      <c r="D113" s="4"/>
      <c r="E113" s="5"/>
      <c r="F113" s="6"/>
      <c r="G113" s="7"/>
      <c r="H113" s="8"/>
      <c r="I113" s="5"/>
      <c r="J113" s="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45">
      <c r="A114" s="2"/>
      <c r="B114" s="2"/>
      <c r="C114" s="3"/>
      <c r="D114" s="4"/>
      <c r="E114" s="5"/>
      <c r="F114" s="6"/>
      <c r="G114" s="7"/>
      <c r="H114" s="8"/>
      <c r="I114" s="5"/>
      <c r="J114" s="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x14ac:dyDescent="0.45">
      <c r="A115" s="2"/>
      <c r="B115" s="2"/>
      <c r="C115" s="3"/>
      <c r="D115" s="4"/>
      <c r="E115" s="5"/>
      <c r="F115" s="6"/>
      <c r="G115" s="7"/>
      <c r="H115" s="8"/>
      <c r="I115" s="5"/>
      <c r="J115" s="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x14ac:dyDescent="0.45">
      <c r="A116" s="2"/>
      <c r="B116" s="2"/>
      <c r="C116" s="3"/>
      <c r="D116" s="4"/>
      <c r="E116" s="5"/>
      <c r="F116" s="6"/>
      <c r="G116" s="7"/>
      <c r="H116" s="8"/>
      <c r="I116" s="5"/>
      <c r="J116" s="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x14ac:dyDescent="0.45">
      <c r="A117" s="2"/>
      <c r="B117" s="2"/>
      <c r="C117" s="3"/>
      <c r="D117" s="4"/>
      <c r="E117" s="5"/>
      <c r="F117" s="6"/>
      <c r="G117" s="7"/>
      <c r="H117" s="8"/>
      <c r="I117" s="5"/>
      <c r="J117" s="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x14ac:dyDescent="0.45">
      <c r="A118" s="2"/>
      <c r="B118" s="2"/>
      <c r="C118" s="3"/>
      <c r="D118" s="4"/>
      <c r="E118" s="5"/>
      <c r="F118" s="6"/>
      <c r="G118" s="7"/>
      <c r="H118" s="8"/>
      <c r="I118" s="5"/>
      <c r="J118" s="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x14ac:dyDescent="0.45">
      <c r="A119" s="2"/>
      <c r="B119" s="2"/>
      <c r="C119" s="3"/>
      <c r="D119" s="4"/>
      <c r="E119" s="5"/>
      <c r="F119" s="6"/>
      <c r="G119" s="7"/>
      <c r="H119" s="8"/>
      <c r="I119" s="5"/>
      <c r="J119" s="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x14ac:dyDescent="0.45">
      <c r="A120" s="2"/>
      <c r="B120" s="2"/>
      <c r="C120" s="3"/>
      <c r="D120" s="4"/>
      <c r="E120" s="5"/>
      <c r="F120" s="6"/>
      <c r="G120" s="7"/>
      <c r="H120" s="8"/>
      <c r="I120" s="5"/>
      <c r="J120" s="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x14ac:dyDescent="0.45">
      <c r="A121" s="2"/>
      <c r="B121" s="2"/>
      <c r="C121" s="3"/>
      <c r="D121" s="4"/>
      <c r="E121" s="5"/>
      <c r="F121" s="6"/>
      <c r="G121" s="7"/>
      <c r="H121" s="8"/>
      <c r="I121" s="5"/>
      <c r="J121" s="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x14ac:dyDescent="0.45">
      <c r="A122" s="2"/>
      <c r="B122" s="2"/>
      <c r="C122" s="3"/>
      <c r="D122" s="4"/>
      <c r="E122" s="5"/>
      <c r="F122" s="6"/>
      <c r="G122" s="7"/>
      <c r="H122" s="8"/>
      <c r="I122" s="5"/>
      <c r="J122" s="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x14ac:dyDescent="0.45">
      <c r="A123" s="2"/>
      <c r="B123" s="2"/>
      <c r="C123" s="3"/>
      <c r="D123" s="4"/>
      <c r="E123" s="5"/>
      <c r="F123" s="6"/>
      <c r="G123" s="7"/>
      <c r="H123" s="8"/>
      <c r="I123" s="5"/>
      <c r="J123" s="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x14ac:dyDescent="0.45">
      <c r="A124" s="2"/>
      <c r="B124" s="2"/>
      <c r="C124" s="3"/>
      <c r="D124" s="4"/>
      <c r="E124" s="5"/>
      <c r="F124" s="6"/>
      <c r="G124" s="7"/>
      <c r="H124" s="8"/>
      <c r="I124" s="5"/>
      <c r="J124" s="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x14ac:dyDescent="0.45">
      <c r="A125" s="2"/>
      <c r="B125" s="2"/>
      <c r="C125" s="3"/>
      <c r="D125" s="4"/>
      <c r="E125" s="5"/>
      <c r="F125" s="6"/>
      <c r="G125" s="7"/>
      <c r="H125" s="8"/>
      <c r="I125" s="5"/>
      <c r="J125" s="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45">
      <c r="A126" s="2"/>
      <c r="B126" s="2"/>
      <c r="C126" s="3"/>
      <c r="D126" s="4"/>
      <c r="E126" s="5"/>
      <c r="F126" s="6"/>
      <c r="G126" s="7"/>
      <c r="H126" s="8"/>
      <c r="I126" s="5"/>
      <c r="J126" s="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x14ac:dyDescent="0.45">
      <c r="A127" s="2"/>
      <c r="B127" s="2"/>
      <c r="C127" s="3"/>
      <c r="D127" s="4"/>
      <c r="E127" s="5"/>
      <c r="F127" s="6"/>
      <c r="G127" s="7"/>
      <c r="H127" s="8"/>
      <c r="I127" s="5"/>
      <c r="J127" s="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x14ac:dyDescent="0.45">
      <c r="A128" s="2"/>
      <c r="B128" s="2"/>
      <c r="C128" s="3"/>
      <c r="D128" s="4"/>
      <c r="E128" s="5"/>
      <c r="F128" s="6"/>
      <c r="G128" s="7"/>
      <c r="H128" s="8"/>
      <c r="I128" s="5"/>
      <c r="J128" s="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x14ac:dyDescent="0.45">
      <c r="A129" s="2"/>
      <c r="B129" s="2"/>
      <c r="C129" s="3"/>
      <c r="D129" s="4"/>
      <c r="E129" s="5"/>
      <c r="F129" s="6"/>
      <c r="G129" s="7"/>
      <c r="H129" s="8"/>
      <c r="I129" s="5"/>
      <c r="J129" s="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x14ac:dyDescent="0.45">
      <c r="A130" s="2"/>
      <c r="B130" s="2"/>
      <c r="C130" s="3"/>
      <c r="D130" s="4"/>
      <c r="E130" s="5"/>
      <c r="F130" s="6"/>
      <c r="G130" s="7"/>
      <c r="H130" s="8"/>
      <c r="I130" s="5"/>
      <c r="J130" s="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x14ac:dyDescent="0.45">
      <c r="A131" s="2"/>
      <c r="B131" s="2"/>
      <c r="C131" s="3"/>
      <c r="D131" s="4"/>
      <c r="E131" s="5"/>
      <c r="F131" s="6"/>
      <c r="G131" s="7"/>
      <c r="H131" s="8"/>
      <c r="I131" s="5"/>
      <c r="J131" s="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x14ac:dyDescent="0.45">
      <c r="A132" s="2"/>
      <c r="B132" s="2"/>
      <c r="C132" s="3"/>
      <c r="D132" s="4"/>
      <c r="E132" s="5"/>
      <c r="F132" s="6"/>
      <c r="G132" s="7"/>
      <c r="H132" s="8"/>
      <c r="I132" s="5"/>
      <c r="J132" s="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x14ac:dyDescent="0.45">
      <c r="A133" s="2"/>
      <c r="B133" s="2"/>
      <c r="C133" s="3"/>
      <c r="D133" s="4"/>
      <c r="E133" s="5"/>
      <c r="F133" s="6"/>
      <c r="G133" s="7"/>
      <c r="H133" s="8"/>
      <c r="I133" s="5"/>
      <c r="J133" s="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x14ac:dyDescent="0.45">
      <c r="A134" s="2"/>
      <c r="B134" s="2"/>
      <c r="C134" s="3"/>
      <c r="D134" s="4"/>
      <c r="E134" s="5"/>
      <c r="F134" s="6"/>
      <c r="G134" s="7"/>
      <c r="H134" s="8"/>
      <c r="I134" s="5"/>
      <c r="J134" s="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x14ac:dyDescent="0.45">
      <c r="A135" s="2"/>
      <c r="B135" s="2"/>
      <c r="C135" s="3"/>
      <c r="D135" s="4"/>
      <c r="E135" s="5"/>
      <c r="F135" s="6"/>
      <c r="G135" s="7"/>
      <c r="H135" s="8"/>
      <c r="I135" s="5"/>
      <c r="J135" s="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x14ac:dyDescent="0.45">
      <c r="A136" s="2"/>
      <c r="B136" s="2"/>
      <c r="C136" s="3"/>
      <c r="D136" s="4"/>
      <c r="E136" s="5"/>
      <c r="F136" s="6"/>
      <c r="G136" s="7"/>
      <c r="H136" s="8"/>
      <c r="I136" s="5"/>
      <c r="J136" s="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x14ac:dyDescent="0.45">
      <c r="A137" s="2"/>
      <c r="B137" s="2"/>
      <c r="C137" s="3"/>
      <c r="D137" s="4"/>
      <c r="E137" s="5"/>
      <c r="F137" s="6"/>
      <c r="G137" s="7"/>
      <c r="H137" s="8"/>
      <c r="I137" s="5"/>
      <c r="J137" s="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x14ac:dyDescent="0.45">
      <c r="A138" s="2"/>
      <c r="B138" s="2"/>
      <c r="C138" s="3"/>
      <c r="D138" s="4"/>
      <c r="E138" s="5"/>
      <c r="F138" s="6"/>
      <c r="G138" s="7"/>
      <c r="H138" s="8"/>
      <c r="I138" s="5"/>
      <c r="J138" s="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45">
      <c r="A139" s="2"/>
      <c r="B139" s="2"/>
      <c r="C139" s="3"/>
      <c r="D139" s="4"/>
      <c r="E139" s="5"/>
      <c r="F139" s="6"/>
      <c r="G139" s="7"/>
      <c r="H139" s="8"/>
      <c r="I139" s="5"/>
      <c r="J139" s="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x14ac:dyDescent="0.45">
      <c r="A140" s="2"/>
      <c r="B140" s="2"/>
      <c r="C140" s="3"/>
      <c r="D140" s="4"/>
      <c r="E140" s="5"/>
      <c r="F140" s="6"/>
      <c r="G140" s="7"/>
      <c r="H140" s="8"/>
      <c r="I140" s="5"/>
      <c r="J140" s="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x14ac:dyDescent="0.45">
      <c r="A141" s="2"/>
      <c r="B141" s="2"/>
      <c r="C141" s="3"/>
      <c r="D141" s="4"/>
      <c r="E141" s="5"/>
      <c r="F141" s="6"/>
      <c r="G141" s="7"/>
      <c r="H141" s="8"/>
      <c r="I141" s="5"/>
      <c r="J141" s="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x14ac:dyDescent="0.45">
      <c r="A142" s="2"/>
      <c r="B142" s="2"/>
      <c r="C142" s="3"/>
      <c r="D142" s="4"/>
      <c r="E142" s="5"/>
      <c r="F142" s="6"/>
      <c r="G142" s="7"/>
      <c r="H142" s="8"/>
      <c r="I142" s="5"/>
      <c r="J142" s="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x14ac:dyDescent="0.45">
      <c r="A143" s="2"/>
      <c r="B143" s="2"/>
      <c r="C143" s="3"/>
      <c r="D143" s="4"/>
      <c r="E143" s="5"/>
      <c r="F143" s="6"/>
      <c r="G143" s="7"/>
      <c r="H143" s="8"/>
      <c r="I143" s="5"/>
      <c r="J143" s="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x14ac:dyDescent="0.45">
      <c r="A144" s="2"/>
      <c r="B144" s="2"/>
      <c r="C144" s="3"/>
      <c r="D144" s="4"/>
      <c r="E144" s="5"/>
      <c r="F144" s="6"/>
      <c r="G144" s="7"/>
      <c r="H144" s="8"/>
      <c r="I144" s="5"/>
      <c r="J144" s="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x14ac:dyDescent="0.45">
      <c r="A145" s="2"/>
      <c r="B145" s="2"/>
      <c r="C145" s="3"/>
      <c r="D145" s="4"/>
      <c r="E145" s="5"/>
      <c r="F145" s="6"/>
      <c r="G145" s="7"/>
      <c r="H145" s="8"/>
      <c r="I145" s="5"/>
      <c r="J145" s="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x14ac:dyDescent="0.45">
      <c r="A146" s="2"/>
      <c r="B146" s="2"/>
      <c r="C146" s="3"/>
      <c r="D146" s="4"/>
      <c r="E146" s="5"/>
      <c r="F146" s="6"/>
      <c r="G146" s="7"/>
      <c r="H146" s="8"/>
      <c r="I146" s="5"/>
      <c r="J146" s="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x14ac:dyDescent="0.45">
      <c r="A147" s="2"/>
      <c r="B147" s="2"/>
      <c r="C147" s="3"/>
      <c r="D147" s="4"/>
      <c r="E147" s="5"/>
      <c r="F147" s="6"/>
      <c r="G147" s="7"/>
      <c r="H147" s="8"/>
      <c r="I147" s="5"/>
      <c r="J147" s="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x14ac:dyDescent="0.45">
      <c r="A148" s="2"/>
      <c r="B148" s="2"/>
      <c r="C148" s="3"/>
      <c r="D148" s="4"/>
      <c r="E148" s="5"/>
      <c r="F148" s="6"/>
      <c r="G148" s="7"/>
      <c r="H148" s="8"/>
      <c r="I148" s="5"/>
      <c r="J148" s="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x14ac:dyDescent="0.45">
      <c r="A149" s="2"/>
      <c r="B149" s="2"/>
      <c r="C149" s="3"/>
      <c r="D149" s="4"/>
      <c r="E149" s="5"/>
      <c r="F149" s="6"/>
      <c r="G149" s="7"/>
      <c r="H149" s="8"/>
      <c r="I149" s="5"/>
      <c r="J149" s="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45">
      <c r="A150" s="2"/>
      <c r="B150" s="2"/>
      <c r="C150" s="3"/>
      <c r="D150" s="4"/>
      <c r="E150" s="5"/>
      <c r="F150" s="6"/>
      <c r="G150" s="7"/>
      <c r="H150" s="8"/>
      <c r="I150" s="5"/>
      <c r="J150" s="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x14ac:dyDescent="0.45">
      <c r="A151" s="2"/>
      <c r="B151" s="2"/>
      <c r="C151" s="3"/>
      <c r="D151" s="4"/>
      <c r="E151" s="5"/>
      <c r="F151" s="6"/>
      <c r="G151" s="7"/>
      <c r="H151" s="8"/>
      <c r="I151" s="5"/>
      <c r="J151" s="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x14ac:dyDescent="0.45">
      <c r="A152" s="2"/>
      <c r="B152" s="2"/>
      <c r="C152" s="3"/>
      <c r="D152" s="4"/>
      <c r="E152" s="5"/>
      <c r="F152" s="6"/>
      <c r="G152" s="7"/>
      <c r="H152" s="8"/>
      <c r="I152" s="5"/>
      <c r="J152" s="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x14ac:dyDescent="0.45">
      <c r="A153" s="2"/>
      <c r="B153" s="2"/>
      <c r="C153" s="3"/>
      <c r="D153" s="4"/>
      <c r="E153" s="5"/>
      <c r="F153" s="6"/>
      <c r="G153" s="7"/>
      <c r="H153" s="8"/>
      <c r="I153" s="5"/>
      <c r="J153" s="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x14ac:dyDescent="0.45">
      <c r="A154" s="2"/>
      <c r="B154" s="2"/>
      <c r="C154" s="3"/>
      <c r="D154" s="4"/>
      <c r="E154" s="5"/>
      <c r="F154" s="6"/>
      <c r="G154" s="7"/>
      <c r="H154" s="8"/>
      <c r="I154" s="5"/>
      <c r="J154" s="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x14ac:dyDescent="0.45">
      <c r="A155" s="2"/>
      <c r="B155" s="2"/>
      <c r="C155" s="3"/>
      <c r="D155" s="4"/>
      <c r="E155" s="5"/>
      <c r="F155" s="6"/>
      <c r="G155" s="7"/>
      <c r="H155" s="8"/>
      <c r="I155" s="5"/>
      <c r="J155" s="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x14ac:dyDescent="0.45">
      <c r="A156" s="2"/>
      <c r="B156" s="2"/>
      <c r="C156" s="3"/>
      <c r="D156" s="4"/>
      <c r="E156" s="5"/>
      <c r="F156" s="6"/>
      <c r="G156" s="7"/>
      <c r="H156" s="8"/>
      <c r="I156" s="5"/>
      <c r="J156" s="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x14ac:dyDescent="0.45">
      <c r="A157" s="2"/>
      <c r="B157" s="2"/>
      <c r="C157" s="3"/>
      <c r="D157" s="4"/>
      <c r="E157" s="5"/>
      <c r="F157" s="6"/>
      <c r="G157" s="7"/>
      <c r="H157" s="8"/>
      <c r="I157" s="5"/>
      <c r="J157" s="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x14ac:dyDescent="0.45">
      <c r="A158" s="2"/>
      <c r="B158" s="2"/>
      <c r="C158" s="3"/>
      <c r="D158" s="4"/>
      <c r="E158" s="5"/>
      <c r="F158" s="6"/>
      <c r="G158" s="7"/>
      <c r="H158" s="8"/>
      <c r="I158" s="5"/>
      <c r="J158" s="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x14ac:dyDescent="0.45">
      <c r="A159" s="2"/>
      <c r="B159" s="2"/>
      <c r="C159" s="3"/>
      <c r="D159" s="4"/>
      <c r="E159" s="5"/>
      <c r="F159" s="6"/>
      <c r="G159" s="7"/>
      <c r="H159" s="8"/>
      <c r="I159" s="5"/>
      <c r="J159" s="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x14ac:dyDescent="0.45">
      <c r="A160" s="2"/>
      <c r="B160" s="2"/>
      <c r="C160" s="3"/>
      <c r="D160" s="4"/>
      <c r="E160" s="5"/>
      <c r="F160" s="6"/>
      <c r="G160" s="7"/>
      <c r="H160" s="8"/>
      <c r="I160" s="5"/>
      <c r="J160" s="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x14ac:dyDescent="0.45">
      <c r="A161" s="2"/>
      <c r="B161" s="2"/>
      <c r="C161" s="3"/>
      <c r="D161" s="4"/>
      <c r="E161" s="5"/>
      <c r="F161" s="6"/>
      <c r="G161" s="7"/>
      <c r="H161" s="8"/>
      <c r="I161" s="5"/>
      <c r="J161" s="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x14ac:dyDescent="0.45">
      <c r="A162" s="2"/>
      <c r="B162" s="2"/>
      <c r="C162" s="3"/>
      <c r="D162" s="4"/>
      <c r="E162" s="5"/>
      <c r="F162" s="6"/>
      <c r="G162" s="7"/>
      <c r="H162" s="8"/>
      <c r="I162" s="5"/>
      <c r="J162" s="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x14ac:dyDescent="0.45">
      <c r="A163" s="2"/>
      <c r="B163" s="2"/>
      <c r="C163" s="3"/>
      <c r="D163" s="4"/>
      <c r="E163" s="5"/>
      <c r="F163" s="6"/>
      <c r="G163" s="7"/>
      <c r="H163" s="8"/>
      <c r="I163" s="5"/>
      <c r="J163" s="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x14ac:dyDescent="0.45">
      <c r="A164" s="2"/>
      <c r="B164" s="2"/>
      <c r="C164" s="3"/>
      <c r="D164" s="4"/>
      <c r="E164" s="5"/>
      <c r="F164" s="6"/>
      <c r="G164" s="7"/>
      <c r="H164" s="8"/>
      <c r="I164" s="5"/>
      <c r="J164" s="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x14ac:dyDescent="0.45">
      <c r="A165" s="2"/>
      <c r="B165" s="2"/>
      <c r="C165" s="3"/>
      <c r="D165" s="4"/>
      <c r="E165" s="5"/>
      <c r="F165" s="6"/>
      <c r="G165" s="7"/>
      <c r="H165" s="8"/>
      <c r="I165" s="5"/>
      <c r="J165" s="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x14ac:dyDescent="0.45">
      <c r="A166" s="2"/>
      <c r="B166" s="2"/>
      <c r="C166" s="3"/>
      <c r="D166" s="4"/>
      <c r="E166" s="5"/>
      <c r="F166" s="6"/>
      <c r="G166" s="7"/>
      <c r="H166" s="8"/>
      <c r="I166" s="5"/>
      <c r="J166" s="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x14ac:dyDescent="0.45">
      <c r="A167" s="2"/>
      <c r="B167" s="2"/>
      <c r="C167" s="3"/>
      <c r="D167" s="4"/>
      <c r="E167" s="5"/>
      <c r="F167" s="6"/>
      <c r="G167" s="7"/>
      <c r="H167" s="8"/>
      <c r="I167" s="5"/>
      <c r="J167" s="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x14ac:dyDescent="0.45">
      <c r="A168" s="2"/>
      <c r="B168" s="2"/>
      <c r="C168" s="3"/>
      <c r="D168" s="4"/>
      <c r="E168" s="5"/>
      <c r="F168" s="6"/>
      <c r="G168" s="7"/>
      <c r="H168" s="8"/>
      <c r="I168" s="5"/>
      <c r="J168" s="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x14ac:dyDescent="0.45">
      <c r="A169" s="2"/>
      <c r="B169" s="2"/>
      <c r="C169" s="3"/>
      <c r="D169" s="4"/>
      <c r="E169" s="5"/>
      <c r="F169" s="6"/>
      <c r="G169" s="7"/>
      <c r="H169" s="8"/>
      <c r="I169" s="5"/>
      <c r="J169" s="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x14ac:dyDescent="0.45">
      <c r="A170" s="2"/>
      <c r="B170" s="2"/>
      <c r="C170" s="3"/>
      <c r="D170" s="4"/>
      <c r="E170" s="5"/>
      <c r="F170" s="6"/>
      <c r="G170" s="7"/>
      <c r="H170" s="8"/>
      <c r="I170" s="5"/>
      <c r="J170" s="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x14ac:dyDescent="0.45">
      <c r="A171" s="2"/>
      <c r="B171" s="2"/>
      <c r="C171" s="3"/>
      <c r="D171" s="4"/>
      <c r="E171" s="5"/>
      <c r="F171" s="6"/>
      <c r="G171" s="7"/>
      <c r="H171" s="8"/>
      <c r="I171" s="5"/>
      <c r="J171" s="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x14ac:dyDescent="0.45">
      <c r="A172" s="2"/>
      <c r="B172" s="2"/>
      <c r="C172" s="3"/>
      <c r="D172" s="4"/>
      <c r="E172" s="5"/>
      <c r="F172" s="6"/>
      <c r="G172" s="7"/>
      <c r="H172" s="8"/>
      <c r="I172" s="5"/>
      <c r="J172" s="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x14ac:dyDescent="0.45">
      <c r="A173" s="2"/>
      <c r="B173" s="2"/>
      <c r="C173" s="3"/>
      <c r="D173" s="4"/>
      <c r="E173" s="5"/>
      <c r="F173" s="6"/>
      <c r="G173" s="7"/>
      <c r="H173" s="8"/>
      <c r="I173" s="5"/>
      <c r="J173" s="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x14ac:dyDescent="0.45">
      <c r="A174" s="2"/>
      <c r="B174" s="2"/>
      <c r="C174" s="3"/>
      <c r="D174" s="4"/>
      <c r="E174" s="5"/>
      <c r="F174" s="6"/>
      <c r="G174" s="7"/>
      <c r="H174" s="8"/>
      <c r="I174" s="5"/>
      <c r="J174" s="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x14ac:dyDescent="0.45">
      <c r="A175" s="2"/>
      <c r="B175" s="2"/>
      <c r="C175" s="3"/>
      <c r="D175" s="4"/>
      <c r="E175" s="5"/>
      <c r="F175" s="6"/>
      <c r="G175" s="7"/>
      <c r="H175" s="8"/>
      <c r="I175" s="5"/>
      <c r="J175" s="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x14ac:dyDescent="0.45">
      <c r="A176" s="2"/>
      <c r="B176" s="2"/>
      <c r="C176" s="3"/>
      <c r="D176" s="4"/>
      <c r="E176" s="5"/>
      <c r="F176" s="6"/>
      <c r="G176" s="7"/>
      <c r="H176" s="8"/>
      <c r="I176" s="5"/>
      <c r="J176" s="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x14ac:dyDescent="0.45">
      <c r="A177" s="2"/>
      <c r="B177" s="2"/>
      <c r="C177" s="3"/>
      <c r="D177" s="4"/>
      <c r="E177" s="5"/>
      <c r="F177" s="6"/>
      <c r="G177" s="7"/>
      <c r="H177" s="8"/>
      <c r="I177" s="5"/>
      <c r="J177" s="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x14ac:dyDescent="0.45">
      <c r="A178" s="2"/>
      <c r="B178" s="2"/>
      <c r="C178" s="3"/>
      <c r="D178" s="4"/>
      <c r="E178" s="5"/>
      <c r="F178" s="6"/>
      <c r="G178" s="7"/>
      <c r="H178" s="8"/>
      <c r="I178" s="5"/>
      <c r="J178" s="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x14ac:dyDescent="0.45">
      <c r="A179" s="2"/>
      <c r="B179" s="2"/>
      <c r="C179" s="3"/>
      <c r="D179" s="4"/>
      <c r="E179" s="5"/>
      <c r="F179" s="6"/>
      <c r="G179" s="7"/>
      <c r="H179" s="8"/>
      <c r="I179" s="5"/>
      <c r="J179" s="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x14ac:dyDescent="0.45">
      <c r="A180" s="2"/>
      <c r="B180" s="2"/>
      <c r="C180" s="3"/>
      <c r="D180" s="4"/>
      <c r="E180" s="5"/>
      <c r="F180" s="6"/>
      <c r="G180" s="7"/>
      <c r="H180" s="8"/>
      <c r="I180" s="5"/>
      <c r="J180" s="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x14ac:dyDescent="0.45">
      <c r="A181" s="2"/>
      <c r="B181" s="2"/>
      <c r="C181" s="3"/>
      <c r="D181" s="4"/>
      <c r="E181" s="5"/>
      <c r="F181" s="6"/>
      <c r="G181" s="7"/>
      <c r="H181" s="8"/>
      <c r="I181" s="5"/>
      <c r="J181" s="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x14ac:dyDescent="0.45">
      <c r="A182" s="2"/>
      <c r="B182" s="2"/>
      <c r="C182" s="3"/>
      <c r="D182" s="4"/>
      <c r="E182" s="5"/>
      <c r="F182" s="6"/>
      <c r="G182" s="7"/>
      <c r="H182" s="8"/>
      <c r="I182" s="5"/>
      <c r="J182" s="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x14ac:dyDescent="0.45">
      <c r="A183" s="2"/>
      <c r="B183" s="2"/>
      <c r="C183" s="3"/>
      <c r="D183" s="4"/>
      <c r="E183" s="5"/>
      <c r="F183" s="6"/>
      <c r="G183" s="7"/>
      <c r="H183" s="8"/>
      <c r="I183" s="5"/>
      <c r="J183" s="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x14ac:dyDescent="0.45">
      <c r="A184" s="2"/>
      <c r="B184" s="2"/>
      <c r="C184" s="3"/>
      <c r="D184" s="4"/>
      <c r="E184" s="5"/>
      <c r="F184" s="6"/>
      <c r="G184" s="7"/>
      <c r="H184" s="8"/>
      <c r="I184" s="5"/>
      <c r="J184" s="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x14ac:dyDescent="0.45">
      <c r="A185" s="2"/>
      <c r="B185" s="2"/>
      <c r="C185" s="3"/>
      <c r="D185" s="4"/>
      <c r="E185" s="5"/>
      <c r="F185" s="6"/>
      <c r="G185" s="7"/>
      <c r="H185" s="8"/>
      <c r="I185" s="5"/>
      <c r="J185" s="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x14ac:dyDescent="0.45">
      <c r="A186" s="2"/>
      <c r="B186" s="2"/>
      <c r="C186" s="3"/>
      <c r="D186" s="4"/>
      <c r="E186" s="5"/>
      <c r="F186" s="6"/>
      <c r="G186" s="7"/>
      <c r="H186" s="8"/>
      <c r="I186" s="5"/>
      <c r="J186" s="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x14ac:dyDescent="0.45">
      <c r="A187" s="2"/>
      <c r="B187" s="2"/>
      <c r="C187" s="3"/>
      <c r="D187" s="4"/>
      <c r="E187" s="5"/>
      <c r="F187" s="6"/>
      <c r="G187" s="7"/>
      <c r="H187" s="8"/>
      <c r="I187" s="5"/>
      <c r="J187" s="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x14ac:dyDescent="0.45">
      <c r="A188" s="2"/>
      <c r="B188" s="2"/>
      <c r="C188" s="3"/>
      <c r="D188" s="4"/>
      <c r="E188" s="5"/>
      <c r="F188" s="6"/>
      <c r="G188" s="7"/>
      <c r="H188" s="8"/>
      <c r="I188" s="5"/>
      <c r="J188" s="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x14ac:dyDescent="0.45">
      <c r="A189" s="2"/>
      <c r="B189" s="2"/>
      <c r="C189" s="3"/>
      <c r="D189" s="4"/>
      <c r="E189" s="5"/>
      <c r="F189" s="6"/>
      <c r="G189" s="7"/>
      <c r="H189" s="8"/>
      <c r="I189" s="5"/>
      <c r="J189" s="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x14ac:dyDescent="0.45">
      <c r="A190" s="2"/>
      <c r="B190" s="2"/>
      <c r="C190" s="3"/>
      <c r="D190" s="4"/>
      <c r="E190" s="5"/>
      <c r="F190" s="6"/>
      <c r="G190" s="7"/>
      <c r="H190" s="8"/>
      <c r="I190" s="5"/>
      <c r="J190" s="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x14ac:dyDescent="0.45">
      <c r="A191" s="2"/>
      <c r="B191" s="2"/>
      <c r="C191" s="3"/>
      <c r="D191" s="4"/>
      <c r="E191" s="5"/>
      <c r="F191" s="6"/>
      <c r="G191" s="7"/>
      <c r="H191" s="8"/>
      <c r="I191" s="5"/>
      <c r="J191" s="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x14ac:dyDescent="0.45">
      <c r="A192" s="2"/>
      <c r="B192" s="2"/>
      <c r="C192" s="3"/>
      <c r="D192" s="4"/>
      <c r="E192" s="5"/>
      <c r="F192" s="6"/>
      <c r="G192" s="7"/>
      <c r="H192" s="8"/>
      <c r="I192" s="5"/>
      <c r="J192" s="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x14ac:dyDescent="0.45">
      <c r="A193" s="2"/>
      <c r="B193" s="2"/>
      <c r="C193" s="3"/>
      <c r="D193" s="4"/>
      <c r="E193" s="5"/>
      <c r="F193" s="6"/>
      <c r="G193" s="7"/>
      <c r="H193" s="8"/>
      <c r="I193" s="5"/>
      <c r="J193" s="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x14ac:dyDescent="0.45">
      <c r="A194" s="2"/>
      <c r="B194" s="2"/>
      <c r="C194" s="3"/>
      <c r="D194" s="4"/>
      <c r="E194" s="5"/>
      <c r="F194" s="6"/>
      <c r="G194" s="7"/>
      <c r="H194" s="8"/>
      <c r="I194" s="5"/>
      <c r="J194" s="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x14ac:dyDescent="0.45">
      <c r="A195" s="2"/>
      <c r="B195" s="2"/>
      <c r="C195" s="3"/>
      <c r="D195" s="4"/>
      <c r="E195" s="5"/>
      <c r="F195" s="6"/>
      <c r="G195" s="7"/>
      <c r="H195" s="8"/>
      <c r="I195" s="5"/>
      <c r="J195" s="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x14ac:dyDescent="0.45">
      <c r="A196" s="2"/>
      <c r="B196" s="2"/>
      <c r="C196" s="3"/>
      <c r="D196" s="4"/>
      <c r="E196" s="5"/>
      <c r="F196" s="6"/>
      <c r="G196" s="7"/>
      <c r="H196" s="8"/>
      <c r="I196" s="5"/>
      <c r="J196" s="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x14ac:dyDescent="0.45">
      <c r="A197" s="2"/>
      <c r="B197" s="2"/>
      <c r="C197" s="3"/>
      <c r="D197" s="4"/>
      <c r="E197" s="5"/>
      <c r="F197" s="6"/>
      <c r="G197" s="7"/>
      <c r="H197" s="8"/>
      <c r="I197" s="5"/>
      <c r="J197" s="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x14ac:dyDescent="0.45">
      <c r="A198" s="2"/>
      <c r="B198" s="2"/>
      <c r="C198" s="3"/>
      <c r="D198" s="4"/>
      <c r="E198" s="5"/>
      <c r="F198" s="6"/>
      <c r="G198" s="7"/>
      <c r="H198" s="8"/>
      <c r="I198" s="5"/>
      <c r="J198" s="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x14ac:dyDescent="0.45">
      <c r="A199" s="2"/>
      <c r="B199" s="2"/>
      <c r="C199" s="3"/>
      <c r="D199" s="4"/>
      <c r="E199" s="5"/>
      <c r="F199" s="6"/>
      <c r="G199" s="7"/>
      <c r="H199" s="8"/>
      <c r="I199" s="5"/>
      <c r="J199" s="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x14ac:dyDescent="0.45">
      <c r="A200" s="2"/>
      <c r="B200" s="2"/>
      <c r="C200" s="3"/>
      <c r="D200" s="4"/>
      <c r="E200" s="5"/>
      <c r="F200" s="6"/>
      <c r="G200" s="7"/>
      <c r="H200" s="8"/>
      <c r="I200" s="5"/>
      <c r="J200" s="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x14ac:dyDescent="0.45">
      <c r="A201" s="2"/>
      <c r="B201" s="2"/>
      <c r="C201" s="3"/>
      <c r="D201" s="4"/>
      <c r="E201" s="5"/>
      <c r="F201" s="6"/>
      <c r="G201" s="7"/>
      <c r="H201" s="8"/>
      <c r="I201" s="5"/>
      <c r="J201" s="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x14ac:dyDescent="0.45">
      <c r="A202" s="2"/>
      <c r="B202" s="2"/>
      <c r="C202" s="3"/>
      <c r="D202" s="4"/>
      <c r="E202" s="5"/>
      <c r="F202" s="6"/>
      <c r="G202" s="7"/>
      <c r="H202" s="8"/>
      <c r="I202" s="5"/>
      <c r="J202" s="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x14ac:dyDescent="0.45">
      <c r="A203" s="2"/>
      <c r="B203" s="2"/>
      <c r="C203" s="3"/>
      <c r="D203" s="4"/>
      <c r="E203" s="5"/>
      <c r="F203" s="6"/>
      <c r="G203" s="7"/>
      <c r="H203" s="8"/>
      <c r="I203" s="5"/>
      <c r="J203" s="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x14ac:dyDescent="0.45">
      <c r="A204" s="2"/>
      <c r="B204" s="2"/>
      <c r="C204" s="3"/>
      <c r="D204" s="4"/>
      <c r="E204" s="5"/>
      <c r="F204" s="6"/>
      <c r="G204" s="7"/>
      <c r="H204" s="8"/>
      <c r="I204" s="5"/>
      <c r="J204" s="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x14ac:dyDescent="0.45">
      <c r="A205" s="2"/>
      <c r="B205" s="2"/>
      <c r="C205" s="3"/>
      <c r="D205" s="4"/>
      <c r="E205" s="5"/>
      <c r="F205" s="6"/>
      <c r="G205" s="7"/>
      <c r="H205" s="8"/>
      <c r="I205" s="5"/>
      <c r="J205" s="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x14ac:dyDescent="0.45">
      <c r="A206" s="2"/>
      <c r="B206" s="2"/>
      <c r="C206" s="3"/>
      <c r="D206" s="4"/>
      <c r="E206" s="5"/>
      <c r="F206" s="6"/>
      <c r="G206" s="7"/>
      <c r="H206" s="8"/>
      <c r="I206" s="5"/>
      <c r="J206" s="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x14ac:dyDescent="0.45">
      <c r="A207" s="2"/>
      <c r="B207" s="2"/>
      <c r="C207" s="3"/>
      <c r="D207" s="4"/>
      <c r="E207" s="5"/>
      <c r="F207" s="6"/>
      <c r="G207" s="7"/>
      <c r="H207" s="8"/>
      <c r="I207" s="5"/>
      <c r="J207" s="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x14ac:dyDescent="0.45">
      <c r="A208" s="2"/>
      <c r="B208" s="2"/>
      <c r="C208" s="3"/>
      <c r="D208" s="4"/>
      <c r="E208" s="5"/>
      <c r="F208" s="6"/>
      <c r="G208" s="7"/>
      <c r="H208" s="8"/>
      <c r="I208" s="5"/>
      <c r="J208" s="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x14ac:dyDescent="0.45">
      <c r="A209" s="2"/>
      <c r="B209" s="2"/>
      <c r="C209" s="3"/>
      <c r="D209" s="4"/>
      <c r="E209" s="5"/>
      <c r="F209" s="6"/>
      <c r="G209" s="7"/>
      <c r="H209" s="8"/>
      <c r="I209" s="5"/>
      <c r="J209" s="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x14ac:dyDescent="0.45">
      <c r="A210" s="2"/>
      <c r="B210" s="2"/>
      <c r="C210" s="3"/>
      <c r="D210" s="4"/>
      <c r="E210" s="5"/>
      <c r="F210" s="6"/>
      <c r="G210" s="7"/>
      <c r="H210" s="8"/>
      <c r="I210" s="5"/>
      <c r="J210" s="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x14ac:dyDescent="0.45">
      <c r="A211" s="2"/>
      <c r="B211" s="2"/>
      <c r="C211" s="3"/>
      <c r="D211" s="4"/>
      <c r="E211" s="5"/>
      <c r="F211" s="6"/>
      <c r="G211" s="7"/>
      <c r="H211" s="8"/>
      <c r="I211" s="5"/>
      <c r="J211" s="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x14ac:dyDescent="0.45">
      <c r="A212" s="2"/>
      <c r="B212" s="2"/>
      <c r="C212" s="3"/>
      <c r="D212" s="4"/>
      <c r="E212" s="5"/>
      <c r="F212" s="6"/>
      <c r="G212" s="7"/>
      <c r="H212" s="8"/>
      <c r="I212" s="5"/>
      <c r="J212" s="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x14ac:dyDescent="0.45">
      <c r="A213" s="2"/>
      <c r="B213" s="2"/>
      <c r="C213" s="3"/>
      <c r="D213" s="4"/>
      <c r="E213" s="5"/>
      <c r="F213" s="6"/>
      <c r="G213" s="7"/>
      <c r="H213" s="8"/>
      <c r="I213" s="5"/>
      <c r="J213" s="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x14ac:dyDescent="0.45">
      <c r="A214" s="2"/>
      <c r="B214" s="2"/>
      <c r="C214" s="3"/>
      <c r="D214" s="4"/>
      <c r="E214" s="5"/>
      <c r="F214" s="6"/>
      <c r="G214" s="7"/>
      <c r="H214" s="8"/>
      <c r="I214" s="5"/>
      <c r="J214" s="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x14ac:dyDescent="0.45">
      <c r="A215" s="2"/>
      <c r="B215" s="2"/>
      <c r="C215" s="3"/>
      <c r="D215" s="4"/>
      <c r="E215" s="5"/>
      <c r="F215" s="6"/>
      <c r="G215" s="7"/>
      <c r="H215" s="8"/>
      <c r="I215" s="5"/>
      <c r="J215" s="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x14ac:dyDescent="0.45">
      <c r="A216" s="2"/>
      <c r="B216" s="2"/>
      <c r="C216" s="3"/>
      <c r="D216" s="4"/>
      <c r="E216" s="5"/>
      <c r="F216" s="6"/>
      <c r="G216" s="7"/>
      <c r="H216" s="8"/>
      <c r="I216" s="5"/>
      <c r="J216" s="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x14ac:dyDescent="0.45">
      <c r="A217" s="2"/>
      <c r="B217" s="2"/>
      <c r="C217" s="3"/>
      <c r="D217" s="4"/>
      <c r="E217" s="5"/>
      <c r="F217" s="6"/>
      <c r="G217" s="7"/>
      <c r="H217" s="8"/>
      <c r="I217" s="5"/>
      <c r="J217" s="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x14ac:dyDescent="0.45">
      <c r="A218" s="2"/>
      <c r="B218" s="2"/>
      <c r="C218" s="3"/>
      <c r="D218" s="4"/>
      <c r="E218" s="5"/>
      <c r="F218" s="6"/>
      <c r="G218" s="7"/>
      <c r="H218" s="8"/>
      <c r="I218" s="5"/>
      <c r="J218" s="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x14ac:dyDescent="0.45">
      <c r="A219" s="2"/>
      <c r="B219" s="2"/>
      <c r="C219" s="3"/>
      <c r="D219" s="4"/>
      <c r="E219" s="5"/>
      <c r="F219" s="6"/>
      <c r="G219" s="7"/>
      <c r="H219" s="8"/>
      <c r="I219" s="5"/>
      <c r="J219" s="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x14ac:dyDescent="0.45">
      <c r="A220" s="2"/>
      <c r="B220" s="2"/>
      <c r="C220" s="3"/>
      <c r="D220" s="4"/>
      <c r="E220" s="5"/>
      <c r="F220" s="6"/>
      <c r="G220" s="7"/>
      <c r="H220" s="8"/>
      <c r="I220" s="5"/>
      <c r="J220" s="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x14ac:dyDescent="0.45">
      <c r="A221" s="2"/>
      <c r="B221" s="2"/>
      <c r="C221" s="3"/>
      <c r="D221" s="4"/>
      <c r="E221" s="5"/>
      <c r="F221" s="6"/>
      <c r="G221" s="7"/>
      <c r="H221" s="8"/>
      <c r="I221" s="5"/>
      <c r="J221" s="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x14ac:dyDescent="0.45">
      <c r="A222" s="2"/>
      <c r="B222" s="2"/>
      <c r="C222" s="3"/>
      <c r="D222" s="4"/>
      <c r="E222" s="5"/>
      <c r="F222" s="6"/>
      <c r="G222" s="7"/>
      <c r="H222" s="8"/>
      <c r="I222" s="5"/>
      <c r="J222" s="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x14ac:dyDescent="0.45">
      <c r="A223" s="2"/>
      <c r="B223" s="2"/>
      <c r="C223" s="3"/>
      <c r="D223" s="4"/>
      <c r="E223" s="5"/>
      <c r="F223" s="6"/>
      <c r="G223" s="7"/>
      <c r="H223" s="8"/>
      <c r="I223" s="5"/>
      <c r="J223" s="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x14ac:dyDescent="0.45">
      <c r="A224" s="2"/>
      <c r="B224" s="2"/>
      <c r="C224" s="3"/>
      <c r="D224" s="4"/>
      <c r="E224" s="5"/>
      <c r="F224" s="6"/>
      <c r="G224" s="7"/>
      <c r="H224" s="8"/>
      <c r="I224" s="5"/>
      <c r="J224" s="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x14ac:dyDescent="0.45">
      <c r="A225" s="2"/>
      <c r="B225" s="2"/>
      <c r="C225" s="3"/>
      <c r="D225" s="4"/>
      <c r="E225" s="5"/>
      <c r="F225" s="6"/>
      <c r="G225" s="7"/>
      <c r="H225" s="8"/>
      <c r="I225" s="5"/>
      <c r="J225" s="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x14ac:dyDescent="0.45">
      <c r="A226" s="2"/>
      <c r="B226" s="2"/>
      <c r="C226" s="3"/>
      <c r="D226" s="4"/>
      <c r="E226" s="5"/>
      <c r="F226" s="6"/>
      <c r="G226" s="7"/>
      <c r="H226" s="8"/>
      <c r="I226" s="5"/>
      <c r="J226" s="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x14ac:dyDescent="0.45">
      <c r="A227" s="2"/>
      <c r="B227" s="2"/>
      <c r="C227" s="3"/>
      <c r="D227" s="4"/>
      <c r="E227" s="5"/>
      <c r="F227" s="6"/>
      <c r="G227" s="7"/>
      <c r="H227" s="8"/>
      <c r="I227" s="5"/>
      <c r="J227" s="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x14ac:dyDescent="0.45">
      <c r="A228" s="2"/>
      <c r="B228" s="2"/>
      <c r="C228" s="3"/>
      <c r="D228" s="4"/>
      <c r="E228" s="5"/>
      <c r="F228" s="6"/>
      <c r="G228" s="7"/>
      <c r="H228" s="8"/>
      <c r="I228" s="5"/>
      <c r="J228" s="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x14ac:dyDescent="0.45">
      <c r="A229" s="2"/>
      <c r="B229" s="2"/>
      <c r="C229" s="3"/>
      <c r="D229" s="4"/>
      <c r="E229" s="5"/>
      <c r="F229" s="6"/>
      <c r="G229" s="7"/>
      <c r="H229" s="8"/>
      <c r="I229" s="5"/>
      <c r="J229" s="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x14ac:dyDescent="0.45">
      <c r="A230" s="2"/>
      <c r="B230" s="2"/>
      <c r="C230" s="3"/>
      <c r="D230" s="4"/>
      <c r="E230" s="5"/>
      <c r="F230" s="6"/>
      <c r="G230" s="7"/>
      <c r="H230" s="8"/>
      <c r="I230" s="5"/>
      <c r="J230" s="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x14ac:dyDescent="0.45">
      <c r="A231" s="2"/>
      <c r="B231" s="2"/>
      <c r="C231" s="3"/>
      <c r="D231" s="4"/>
      <c r="E231" s="5"/>
      <c r="F231" s="6"/>
      <c r="G231" s="7"/>
      <c r="H231" s="8"/>
      <c r="I231" s="5"/>
      <c r="J231" s="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x14ac:dyDescent="0.45">
      <c r="A232" s="2"/>
      <c r="B232" s="2"/>
      <c r="C232" s="3"/>
      <c r="D232" s="4"/>
      <c r="E232" s="5"/>
      <c r="F232" s="6"/>
      <c r="G232" s="7"/>
      <c r="H232" s="8"/>
      <c r="I232" s="5"/>
      <c r="J232" s="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x14ac:dyDescent="0.45">
      <c r="A233" s="2"/>
      <c r="B233" s="2"/>
      <c r="C233" s="3"/>
      <c r="D233" s="4"/>
      <c r="E233" s="5"/>
      <c r="F233" s="6"/>
      <c r="G233" s="7"/>
      <c r="H233" s="8"/>
      <c r="I233" s="5"/>
      <c r="J233" s="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x14ac:dyDescent="0.45">
      <c r="A234" s="2"/>
      <c r="B234" s="2"/>
      <c r="C234" s="3"/>
      <c r="D234" s="4"/>
      <c r="E234" s="5"/>
      <c r="F234" s="6"/>
      <c r="G234" s="7"/>
      <c r="H234" s="8"/>
      <c r="I234" s="5"/>
      <c r="J234" s="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x14ac:dyDescent="0.45">
      <c r="A235" s="2"/>
      <c r="B235" s="2"/>
      <c r="C235" s="3"/>
      <c r="D235" s="4"/>
      <c r="E235" s="5"/>
      <c r="F235" s="6"/>
      <c r="G235" s="7"/>
      <c r="H235" s="8"/>
      <c r="I235" s="5"/>
      <c r="J235" s="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x14ac:dyDescent="0.45">
      <c r="A236" s="2"/>
      <c r="B236" s="2"/>
      <c r="C236" s="3"/>
      <c r="D236" s="4"/>
      <c r="E236" s="5"/>
      <c r="F236" s="6"/>
      <c r="G236" s="7"/>
      <c r="H236" s="8"/>
      <c r="I236" s="5"/>
      <c r="J236" s="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x14ac:dyDescent="0.45">
      <c r="A237" s="2"/>
      <c r="B237" s="2"/>
      <c r="C237" s="3"/>
      <c r="D237" s="4"/>
      <c r="E237" s="5"/>
      <c r="F237" s="6"/>
      <c r="G237" s="7"/>
      <c r="H237" s="8"/>
      <c r="I237" s="5"/>
      <c r="J237" s="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x14ac:dyDescent="0.45">
      <c r="A238" s="2"/>
      <c r="B238" s="2"/>
      <c r="C238" s="3"/>
      <c r="D238" s="4"/>
      <c r="E238" s="5"/>
      <c r="F238" s="6"/>
      <c r="G238" s="7"/>
      <c r="H238" s="8"/>
      <c r="I238" s="5"/>
      <c r="J238" s="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x14ac:dyDescent="0.45">
      <c r="A239" s="2"/>
      <c r="B239" s="2"/>
      <c r="C239" s="3"/>
      <c r="D239" s="4"/>
      <c r="E239" s="5"/>
      <c r="F239" s="6"/>
      <c r="G239" s="7"/>
      <c r="H239" s="8"/>
      <c r="I239" s="5"/>
      <c r="J239" s="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x14ac:dyDescent="0.45">
      <c r="A240" s="2"/>
      <c r="B240" s="2"/>
      <c r="C240" s="3"/>
      <c r="D240" s="4"/>
      <c r="E240" s="5"/>
      <c r="F240" s="6"/>
      <c r="G240" s="7"/>
      <c r="H240" s="8"/>
      <c r="I240" s="5"/>
      <c r="J240" s="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x14ac:dyDescent="0.45">
      <c r="A241" s="2"/>
      <c r="B241" s="2"/>
      <c r="C241" s="3"/>
      <c r="D241" s="4"/>
      <c r="E241" s="5"/>
      <c r="F241" s="6"/>
      <c r="G241" s="7"/>
      <c r="H241" s="8"/>
      <c r="I241" s="5"/>
      <c r="J241" s="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x14ac:dyDescent="0.45">
      <c r="A242" s="2"/>
      <c r="B242" s="2"/>
      <c r="C242" s="3"/>
      <c r="D242" s="4"/>
      <c r="E242" s="5"/>
      <c r="F242" s="6"/>
      <c r="G242" s="7"/>
      <c r="H242" s="8"/>
      <c r="I242" s="5"/>
      <c r="J242" s="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x14ac:dyDescent="0.45">
      <c r="A243" s="2"/>
      <c r="B243" s="2"/>
      <c r="C243" s="3"/>
      <c r="D243" s="4"/>
      <c r="E243" s="5"/>
      <c r="F243" s="6"/>
      <c r="G243" s="7"/>
      <c r="H243" s="8"/>
      <c r="I243" s="5"/>
      <c r="J243" s="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x14ac:dyDescent="0.45">
      <c r="A244" s="2"/>
      <c r="B244" s="2"/>
      <c r="C244" s="3"/>
      <c r="D244" s="4"/>
      <c r="E244" s="5"/>
      <c r="F244" s="6"/>
      <c r="G244" s="7"/>
      <c r="H244" s="8"/>
      <c r="I244" s="5"/>
      <c r="J244" s="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x14ac:dyDescent="0.45">
      <c r="A245" s="2"/>
      <c r="B245" s="2"/>
      <c r="C245" s="3"/>
      <c r="D245" s="4"/>
      <c r="E245" s="5"/>
      <c r="F245" s="6"/>
      <c r="G245" s="7"/>
      <c r="H245" s="8"/>
      <c r="I245" s="5"/>
      <c r="J245" s="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x14ac:dyDescent="0.45">
      <c r="A246" s="2"/>
      <c r="B246" s="2"/>
      <c r="C246" s="3"/>
      <c r="D246" s="4"/>
      <c r="E246" s="5"/>
      <c r="F246" s="6"/>
      <c r="G246" s="7"/>
      <c r="H246" s="8"/>
      <c r="I246" s="5"/>
      <c r="J246" s="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x14ac:dyDescent="0.45">
      <c r="A247" s="2"/>
      <c r="B247" s="2"/>
      <c r="C247" s="3"/>
      <c r="D247" s="4"/>
      <c r="E247" s="5"/>
      <c r="F247" s="6"/>
      <c r="G247" s="7"/>
      <c r="H247" s="8"/>
      <c r="I247" s="5"/>
      <c r="J247" s="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x14ac:dyDescent="0.45">
      <c r="A248" s="2"/>
      <c r="B248" s="2"/>
      <c r="C248" s="3"/>
      <c r="D248" s="4"/>
      <c r="E248" s="5"/>
      <c r="F248" s="6"/>
      <c r="G248" s="7"/>
      <c r="H248" s="8"/>
      <c r="I248" s="5"/>
      <c r="J248" s="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x14ac:dyDescent="0.45">
      <c r="A249" s="2"/>
      <c r="B249" s="2"/>
      <c r="C249" s="3"/>
      <c r="D249" s="4"/>
      <c r="E249" s="5"/>
      <c r="F249" s="6"/>
      <c r="G249" s="7"/>
      <c r="H249" s="8"/>
      <c r="I249" s="5"/>
      <c r="J249" s="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x14ac:dyDescent="0.45">
      <c r="A250" s="2"/>
      <c r="B250" s="2"/>
      <c r="C250" s="3"/>
      <c r="D250" s="4"/>
      <c r="E250" s="5"/>
      <c r="F250" s="6"/>
      <c r="G250" s="7"/>
      <c r="H250" s="8"/>
      <c r="I250" s="5"/>
      <c r="J250" s="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x14ac:dyDescent="0.45">
      <c r="A251" s="2"/>
      <c r="B251" s="2"/>
      <c r="C251" s="3"/>
      <c r="D251" s="4"/>
      <c r="E251" s="5"/>
      <c r="F251" s="6"/>
      <c r="G251" s="7"/>
      <c r="H251" s="8"/>
      <c r="I251" s="5"/>
      <c r="J251" s="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x14ac:dyDescent="0.45">
      <c r="A252" s="2"/>
      <c r="B252" s="2"/>
      <c r="C252" s="3"/>
      <c r="D252" s="4"/>
      <c r="E252" s="5"/>
      <c r="F252" s="6"/>
      <c r="G252" s="7"/>
      <c r="H252" s="8"/>
      <c r="I252" s="5"/>
      <c r="J252" s="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x14ac:dyDescent="0.45">
      <c r="A253" s="2"/>
      <c r="B253" s="2"/>
      <c r="C253" s="3"/>
      <c r="D253" s="4"/>
      <c r="E253" s="5"/>
      <c r="F253" s="6"/>
      <c r="G253" s="7"/>
      <c r="H253" s="8"/>
      <c r="I253" s="5"/>
      <c r="J253" s="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x14ac:dyDescent="0.45">
      <c r="A254" s="2"/>
      <c r="B254" s="2"/>
      <c r="C254" s="3"/>
      <c r="D254" s="4"/>
      <c r="E254" s="5"/>
      <c r="F254" s="6"/>
      <c r="G254" s="7"/>
      <c r="H254" s="8"/>
      <c r="I254" s="5"/>
      <c r="J254" s="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x14ac:dyDescent="0.45">
      <c r="A255" s="2"/>
      <c r="B255" s="2"/>
      <c r="C255" s="3"/>
      <c r="D255" s="4"/>
      <c r="E255" s="5"/>
      <c r="F255" s="6"/>
      <c r="G255" s="7"/>
      <c r="H255" s="8"/>
      <c r="I255" s="5"/>
      <c r="J255" s="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x14ac:dyDescent="0.45">
      <c r="A256" s="2"/>
      <c r="B256" s="2"/>
      <c r="C256" s="3"/>
      <c r="D256" s="4"/>
      <c r="E256" s="5"/>
      <c r="F256" s="6"/>
      <c r="G256" s="7"/>
      <c r="H256" s="8"/>
      <c r="I256" s="5"/>
      <c r="J256" s="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x14ac:dyDescent="0.45">
      <c r="A257" s="2"/>
      <c r="B257" s="2"/>
      <c r="C257" s="3"/>
      <c r="D257" s="4"/>
      <c r="E257" s="5"/>
      <c r="F257" s="6"/>
      <c r="G257" s="7"/>
      <c r="H257" s="8"/>
      <c r="I257" s="5"/>
      <c r="J257" s="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x14ac:dyDescent="0.45">
      <c r="A258" s="2"/>
      <c r="B258" s="2"/>
      <c r="C258" s="3"/>
      <c r="D258" s="4"/>
      <c r="E258" s="5"/>
      <c r="F258" s="6"/>
      <c r="G258" s="7"/>
      <c r="H258" s="8"/>
      <c r="I258" s="5"/>
      <c r="J258" s="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x14ac:dyDescent="0.45">
      <c r="A259" s="2"/>
      <c r="B259" s="2"/>
      <c r="C259" s="3"/>
      <c r="D259" s="4"/>
      <c r="E259" s="5"/>
      <c r="F259" s="6"/>
      <c r="G259" s="7"/>
      <c r="H259" s="8"/>
      <c r="I259" s="5"/>
      <c r="J259" s="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x14ac:dyDescent="0.45">
      <c r="A260" s="2"/>
      <c r="B260" s="2"/>
      <c r="C260" s="3"/>
      <c r="D260" s="4"/>
      <c r="E260" s="5"/>
      <c r="F260" s="6"/>
      <c r="G260" s="7"/>
      <c r="H260" s="8"/>
      <c r="I260" s="5"/>
      <c r="J260" s="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x14ac:dyDescent="0.45">
      <c r="A261" s="2"/>
      <c r="B261" s="2"/>
      <c r="C261" s="3"/>
      <c r="D261" s="4"/>
      <c r="E261" s="5"/>
      <c r="F261" s="6"/>
      <c r="G261" s="7"/>
      <c r="H261" s="8"/>
      <c r="I261" s="5"/>
      <c r="J261" s="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x14ac:dyDescent="0.45">
      <c r="A262" s="2"/>
      <c r="B262" s="2"/>
      <c r="C262" s="3"/>
      <c r="D262" s="4"/>
      <c r="E262" s="5"/>
      <c r="F262" s="6"/>
      <c r="G262" s="7"/>
      <c r="H262" s="8"/>
      <c r="I262" s="5"/>
      <c r="J262" s="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x14ac:dyDescent="0.45">
      <c r="A263" s="2"/>
      <c r="B263" s="2"/>
      <c r="C263" s="3"/>
      <c r="D263" s="4"/>
      <c r="E263" s="5"/>
      <c r="F263" s="6"/>
      <c r="G263" s="7"/>
      <c r="H263" s="8"/>
      <c r="I263" s="5"/>
      <c r="J263" s="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x14ac:dyDescent="0.45">
      <c r="A264" s="2"/>
      <c r="B264" s="2"/>
      <c r="C264" s="3"/>
      <c r="D264" s="4"/>
      <c r="E264" s="5"/>
      <c r="F264" s="6"/>
      <c r="G264" s="7"/>
      <c r="H264" s="8"/>
      <c r="I264" s="5"/>
      <c r="J264" s="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x14ac:dyDescent="0.45">
      <c r="A265" s="2"/>
      <c r="B265" s="2"/>
      <c r="C265" s="3"/>
      <c r="D265" s="4"/>
      <c r="E265" s="5"/>
      <c r="F265" s="6"/>
      <c r="G265" s="7"/>
      <c r="H265" s="8"/>
      <c r="I265" s="5"/>
      <c r="J265" s="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x14ac:dyDescent="0.45">
      <c r="A266" s="2"/>
      <c r="B266" s="2"/>
      <c r="C266" s="3"/>
      <c r="D266" s="4"/>
      <c r="E266" s="5"/>
      <c r="F266" s="6"/>
      <c r="G266" s="7"/>
      <c r="H266" s="8"/>
      <c r="I266" s="5"/>
      <c r="J266" s="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x14ac:dyDescent="0.45">
      <c r="A267" s="2"/>
      <c r="B267" s="2"/>
      <c r="C267" s="3"/>
      <c r="D267" s="4"/>
      <c r="E267" s="5"/>
      <c r="F267" s="6"/>
      <c r="G267" s="7"/>
      <c r="H267" s="8"/>
      <c r="I267" s="5"/>
      <c r="J267" s="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x14ac:dyDescent="0.45">
      <c r="A268" s="2"/>
      <c r="B268" s="2"/>
      <c r="C268" s="3"/>
      <c r="D268" s="4"/>
      <c r="E268" s="5"/>
      <c r="F268" s="6"/>
      <c r="G268" s="7"/>
      <c r="H268" s="8"/>
      <c r="I268" s="5"/>
      <c r="J268" s="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x14ac:dyDescent="0.45">
      <c r="A269" s="2"/>
      <c r="B269" s="2"/>
      <c r="C269" s="3"/>
      <c r="D269" s="4"/>
      <c r="E269" s="5"/>
      <c r="F269" s="6"/>
      <c r="G269" s="7"/>
      <c r="H269" s="8"/>
      <c r="I269" s="5"/>
      <c r="J269" s="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x14ac:dyDescent="0.45">
      <c r="A270" s="2"/>
      <c r="B270" s="2"/>
      <c r="C270" s="3"/>
      <c r="D270" s="4"/>
      <c r="E270" s="5"/>
      <c r="F270" s="6"/>
      <c r="G270" s="7"/>
      <c r="H270" s="8"/>
      <c r="I270" s="5"/>
      <c r="J270" s="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x14ac:dyDescent="0.45">
      <c r="A271" s="2"/>
      <c r="B271" s="2"/>
      <c r="C271" s="3"/>
      <c r="D271" s="4"/>
      <c r="E271" s="5"/>
      <c r="F271" s="6"/>
      <c r="G271" s="7"/>
      <c r="H271" s="8"/>
      <c r="I271" s="5"/>
      <c r="J271" s="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x14ac:dyDescent="0.45">
      <c r="A272" s="2"/>
      <c r="B272" s="2"/>
      <c r="C272" s="3"/>
      <c r="D272" s="4"/>
      <c r="E272" s="5"/>
      <c r="F272" s="6"/>
      <c r="G272" s="7"/>
      <c r="H272" s="8"/>
      <c r="I272" s="5"/>
      <c r="J272" s="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x14ac:dyDescent="0.45">
      <c r="A273" s="2"/>
      <c r="B273" s="2"/>
      <c r="C273" s="3"/>
      <c r="D273" s="4"/>
      <c r="E273" s="5"/>
      <c r="F273" s="6"/>
      <c r="G273" s="7"/>
      <c r="H273" s="8"/>
      <c r="I273" s="5"/>
      <c r="J273" s="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x14ac:dyDescent="0.45">
      <c r="A274" s="2"/>
      <c r="B274" s="2"/>
      <c r="C274" s="3"/>
      <c r="D274" s="4"/>
      <c r="E274" s="5"/>
      <c r="F274" s="6"/>
      <c r="G274" s="7"/>
      <c r="H274" s="8"/>
      <c r="I274" s="5"/>
      <c r="J274" s="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x14ac:dyDescent="0.45">
      <c r="A275" s="2"/>
      <c r="B275" s="2"/>
      <c r="C275" s="3"/>
      <c r="D275" s="4"/>
      <c r="E275" s="5"/>
      <c r="F275" s="6"/>
      <c r="G275" s="7"/>
      <c r="H275" s="8"/>
      <c r="I275" s="5"/>
      <c r="J275" s="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x14ac:dyDescent="0.45">
      <c r="A276" s="2"/>
      <c r="B276" s="2"/>
      <c r="C276" s="3"/>
      <c r="D276" s="4"/>
      <c r="E276" s="5"/>
      <c r="F276" s="6"/>
      <c r="G276" s="7"/>
      <c r="H276" s="8"/>
      <c r="I276" s="5"/>
      <c r="J276" s="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x14ac:dyDescent="0.45">
      <c r="A277" s="2"/>
      <c r="B277" s="2"/>
      <c r="C277" s="3"/>
      <c r="D277" s="4"/>
      <c r="E277" s="5"/>
      <c r="F277" s="6"/>
      <c r="G277" s="7"/>
      <c r="H277" s="8"/>
      <c r="I277" s="5"/>
      <c r="J277" s="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x14ac:dyDescent="0.45">
      <c r="A278" s="2"/>
      <c r="B278" s="2"/>
      <c r="C278" s="3"/>
      <c r="D278" s="4"/>
      <c r="E278" s="5"/>
      <c r="F278" s="6"/>
      <c r="G278" s="7"/>
      <c r="H278" s="8"/>
      <c r="I278" s="5"/>
      <c r="J278" s="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x14ac:dyDescent="0.45">
      <c r="A279" s="2"/>
      <c r="B279" s="2"/>
      <c r="C279" s="3"/>
      <c r="D279" s="4"/>
      <c r="E279" s="5"/>
      <c r="F279" s="6"/>
      <c r="G279" s="7"/>
      <c r="H279" s="8"/>
      <c r="I279" s="5"/>
      <c r="J279" s="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x14ac:dyDescent="0.45">
      <c r="A280" s="2"/>
      <c r="B280" s="2"/>
      <c r="C280" s="3"/>
      <c r="D280" s="4"/>
      <c r="E280" s="5"/>
      <c r="F280" s="6"/>
      <c r="G280" s="7"/>
      <c r="H280" s="8"/>
      <c r="I280" s="5"/>
      <c r="J280" s="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x14ac:dyDescent="0.45">
      <c r="A281" s="2"/>
      <c r="B281" s="2"/>
      <c r="C281" s="3"/>
      <c r="D281" s="4"/>
      <c r="E281" s="5"/>
      <c r="F281" s="6"/>
      <c r="G281" s="7"/>
      <c r="H281" s="8"/>
      <c r="I281" s="5"/>
      <c r="J281" s="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x14ac:dyDescent="0.45">
      <c r="A282" s="2"/>
      <c r="B282" s="2"/>
      <c r="C282" s="3"/>
      <c r="D282" s="4"/>
      <c r="E282" s="5"/>
      <c r="F282" s="6"/>
      <c r="G282" s="7"/>
      <c r="H282" s="8"/>
      <c r="I282" s="5"/>
      <c r="J282" s="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x14ac:dyDescent="0.45">
      <c r="A283" s="2"/>
      <c r="B283" s="2"/>
      <c r="C283" s="3"/>
      <c r="D283" s="4"/>
      <c r="E283" s="5"/>
      <c r="F283" s="6"/>
      <c r="G283" s="7"/>
      <c r="H283" s="8"/>
      <c r="I283" s="5"/>
      <c r="J283" s="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x14ac:dyDescent="0.45">
      <c r="A284" s="2"/>
      <c r="B284" s="2"/>
      <c r="C284" s="3"/>
      <c r="D284" s="4"/>
      <c r="E284" s="5"/>
      <c r="F284" s="6"/>
      <c r="G284" s="7"/>
      <c r="H284" s="8"/>
      <c r="I284" s="5"/>
      <c r="J284" s="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x14ac:dyDescent="0.45">
      <c r="A285" s="2"/>
      <c r="B285" s="2"/>
      <c r="C285" s="3"/>
      <c r="D285" s="4"/>
      <c r="E285" s="5"/>
      <c r="F285" s="6"/>
      <c r="G285" s="7"/>
      <c r="H285" s="8"/>
      <c r="I285" s="5"/>
      <c r="J285" s="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x14ac:dyDescent="0.45">
      <c r="A286" s="2"/>
      <c r="B286" s="2"/>
      <c r="C286" s="3"/>
      <c r="D286" s="4"/>
      <c r="E286" s="5"/>
      <c r="F286" s="6"/>
      <c r="G286" s="7"/>
      <c r="H286" s="8"/>
      <c r="I286" s="5"/>
      <c r="J286" s="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x14ac:dyDescent="0.45">
      <c r="A287" s="2"/>
      <c r="B287" s="2"/>
      <c r="C287" s="3"/>
      <c r="D287" s="4"/>
      <c r="E287" s="5"/>
      <c r="F287" s="6"/>
      <c r="G287" s="7"/>
      <c r="H287" s="8"/>
      <c r="I287" s="5"/>
      <c r="J287" s="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x14ac:dyDescent="0.45">
      <c r="A288" s="2"/>
      <c r="B288" s="2"/>
      <c r="C288" s="3"/>
      <c r="D288" s="4"/>
      <c r="E288" s="5"/>
      <c r="F288" s="6"/>
      <c r="G288" s="7"/>
      <c r="H288" s="8"/>
      <c r="I288" s="5"/>
      <c r="J288" s="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x14ac:dyDescent="0.45">
      <c r="A289" s="2"/>
      <c r="B289" s="2"/>
      <c r="C289" s="3"/>
      <c r="D289" s="4"/>
      <c r="E289" s="5"/>
      <c r="F289" s="6"/>
      <c r="G289" s="7"/>
      <c r="H289" s="8"/>
      <c r="I289" s="5"/>
      <c r="J289" s="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x14ac:dyDescent="0.45">
      <c r="A290" s="2"/>
      <c r="B290" s="2"/>
      <c r="C290" s="3"/>
      <c r="D290" s="4"/>
      <c r="E290" s="5"/>
      <c r="F290" s="6"/>
      <c r="G290" s="7"/>
      <c r="H290" s="8"/>
      <c r="I290" s="5"/>
      <c r="J290" s="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x14ac:dyDescent="0.45">
      <c r="A291" s="2"/>
      <c r="B291" s="2"/>
      <c r="C291" s="3"/>
      <c r="D291" s="4"/>
      <c r="E291" s="5"/>
      <c r="F291" s="6"/>
      <c r="G291" s="7"/>
      <c r="H291" s="8"/>
      <c r="I291" s="5"/>
      <c r="J291" s="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x14ac:dyDescent="0.45">
      <c r="A292" s="2"/>
      <c r="B292" s="2"/>
      <c r="C292" s="3"/>
      <c r="D292" s="4"/>
      <c r="E292" s="5"/>
      <c r="F292" s="6"/>
      <c r="G292" s="7"/>
      <c r="H292" s="8"/>
      <c r="I292" s="5"/>
      <c r="J292" s="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x14ac:dyDescent="0.45">
      <c r="A293" s="2"/>
      <c r="B293" s="2"/>
      <c r="C293" s="3"/>
      <c r="D293" s="4"/>
      <c r="E293" s="5"/>
      <c r="F293" s="6"/>
      <c r="G293" s="7"/>
      <c r="H293" s="8"/>
      <c r="I293" s="5"/>
      <c r="J293" s="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x14ac:dyDescent="0.45">
      <c r="A294" s="2"/>
      <c r="B294" s="2"/>
      <c r="C294" s="3"/>
      <c r="D294" s="4"/>
      <c r="E294" s="5"/>
      <c r="F294" s="6"/>
      <c r="G294" s="7"/>
      <c r="H294" s="8"/>
      <c r="I294" s="5"/>
      <c r="J294" s="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x14ac:dyDescent="0.45">
      <c r="A295" s="2"/>
      <c r="B295" s="2"/>
      <c r="C295" s="3"/>
      <c r="D295" s="4"/>
      <c r="E295" s="5"/>
      <c r="F295" s="6"/>
      <c r="G295" s="7"/>
      <c r="H295" s="8"/>
      <c r="I295" s="5"/>
      <c r="J295" s="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x14ac:dyDescent="0.45">
      <c r="A296" s="2"/>
      <c r="B296" s="2"/>
      <c r="C296" s="3"/>
      <c r="D296" s="4"/>
      <c r="E296" s="5"/>
      <c r="F296" s="6"/>
      <c r="G296" s="7"/>
      <c r="H296" s="8"/>
      <c r="I296" s="5"/>
      <c r="J296" s="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x14ac:dyDescent="0.45">
      <c r="A297" s="2"/>
      <c r="B297" s="2"/>
      <c r="C297" s="3"/>
      <c r="D297" s="4"/>
      <c r="E297" s="5"/>
      <c r="F297" s="6"/>
      <c r="G297" s="7"/>
      <c r="H297" s="8"/>
      <c r="I297" s="5"/>
      <c r="J297" s="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x14ac:dyDescent="0.45">
      <c r="A298" s="2"/>
      <c r="B298" s="2"/>
      <c r="C298" s="3"/>
      <c r="D298" s="4"/>
      <c r="E298" s="5"/>
      <c r="F298" s="6"/>
      <c r="G298" s="7"/>
      <c r="H298" s="8"/>
      <c r="I298" s="5"/>
      <c r="J298" s="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x14ac:dyDescent="0.45">
      <c r="A299" s="2"/>
      <c r="B299" s="2"/>
      <c r="C299" s="3"/>
      <c r="D299" s="4"/>
      <c r="E299" s="5"/>
      <c r="F299" s="6"/>
      <c r="G299" s="7"/>
      <c r="H299" s="8"/>
      <c r="I299" s="5"/>
      <c r="J299" s="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x14ac:dyDescent="0.45">
      <c r="A300" s="2"/>
      <c r="B300" s="2"/>
      <c r="C300" s="3"/>
      <c r="D300" s="4"/>
      <c r="E300" s="5"/>
      <c r="F300" s="6"/>
      <c r="G300" s="7"/>
      <c r="H300" s="8"/>
      <c r="I300" s="5"/>
      <c r="J300" s="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x14ac:dyDescent="0.45">
      <c r="A301" s="2"/>
      <c r="B301" s="2"/>
      <c r="C301" s="3"/>
      <c r="D301" s="4"/>
      <c r="E301" s="5"/>
      <c r="F301" s="6"/>
      <c r="G301" s="7"/>
      <c r="H301" s="8"/>
      <c r="I301" s="5"/>
      <c r="J301" s="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x14ac:dyDescent="0.45">
      <c r="A302" s="2"/>
      <c r="B302" s="2"/>
      <c r="C302" s="3"/>
      <c r="D302" s="4"/>
      <c r="E302" s="5"/>
      <c r="F302" s="6"/>
      <c r="G302" s="7"/>
      <c r="H302" s="8"/>
      <c r="I302" s="5"/>
      <c r="J302" s="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x14ac:dyDescent="0.45">
      <c r="A303" s="2"/>
      <c r="B303" s="2"/>
      <c r="C303" s="3"/>
      <c r="D303" s="4"/>
      <c r="E303" s="5"/>
      <c r="F303" s="6"/>
      <c r="G303" s="7"/>
      <c r="H303" s="8"/>
      <c r="I303" s="5"/>
      <c r="J303" s="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x14ac:dyDescent="0.45">
      <c r="A304" s="2"/>
      <c r="B304" s="2"/>
      <c r="C304" s="3"/>
      <c r="D304" s="4"/>
      <c r="E304" s="5"/>
      <c r="F304" s="6"/>
      <c r="G304" s="7"/>
      <c r="H304" s="8"/>
      <c r="I304" s="5"/>
      <c r="J304" s="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x14ac:dyDescent="0.45">
      <c r="A305" s="2"/>
      <c r="B305" s="2"/>
      <c r="C305" s="3"/>
      <c r="D305" s="4"/>
      <c r="E305" s="5"/>
      <c r="F305" s="6"/>
      <c r="G305" s="7"/>
      <c r="H305" s="8"/>
      <c r="I305" s="5"/>
      <c r="J305" s="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x14ac:dyDescent="0.45">
      <c r="A306" s="2"/>
      <c r="B306" s="2"/>
      <c r="C306" s="3"/>
      <c r="D306" s="4"/>
      <c r="E306" s="5"/>
      <c r="F306" s="6"/>
      <c r="G306" s="7"/>
      <c r="H306" s="8"/>
      <c r="I306" s="5"/>
      <c r="J306" s="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x14ac:dyDescent="0.45">
      <c r="A307" s="2"/>
      <c r="B307" s="2"/>
      <c r="C307" s="3"/>
      <c r="D307" s="4"/>
      <c r="E307" s="5"/>
      <c r="F307" s="6"/>
      <c r="G307" s="7"/>
      <c r="H307" s="8"/>
      <c r="I307" s="5"/>
      <c r="J307" s="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x14ac:dyDescent="0.45">
      <c r="A308" s="2"/>
      <c r="B308" s="2"/>
      <c r="C308" s="3"/>
      <c r="D308" s="4"/>
      <c r="E308" s="5"/>
      <c r="F308" s="6"/>
      <c r="G308" s="7"/>
      <c r="H308" s="8"/>
      <c r="I308" s="5"/>
      <c r="J308" s="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x14ac:dyDescent="0.45">
      <c r="A309" s="2"/>
      <c r="B309" s="2"/>
      <c r="C309" s="3"/>
      <c r="D309" s="4"/>
      <c r="E309" s="5"/>
      <c r="F309" s="6"/>
      <c r="G309" s="7"/>
      <c r="H309" s="8"/>
      <c r="I309" s="5"/>
      <c r="J309" s="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x14ac:dyDescent="0.45">
      <c r="A310" s="2"/>
      <c r="B310" s="2"/>
      <c r="C310" s="3"/>
      <c r="D310" s="4"/>
      <c r="E310" s="5"/>
      <c r="F310" s="6"/>
      <c r="G310" s="7"/>
      <c r="H310" s="8"/>
      <c r="I310" s="5"/>
      <c r="J310" s="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x14ac:dyDescent="0.45">
      <c r="A311" s="2"/>
      <c r="B311" s="2"/>
      <c r="C311" s="3"/>
      <c r="D311" s="4"/>
      <c r="E311" s="5"/>
      <c r="F311" s="6"/>
      <c r="G311" s="7"/>
      <c r="H311" s="8"/>
      <c r="I311" s="5"/>
      <c r="J311" s="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x14ac:dyDescent="0.45">
      <c r="A312" s="2"/>
      <c r="B312" s="2"/>
      <c r="C312" s="3"/>
      <c r="D312" s="4"/>
      <c r="E312" s="5"/>
      <c r="F312" s="6"/>
      <c r="G312" s="7"/>
      <c r="H312" s="8"/>
      <c r="I312" s="5"/>
      <c r="J312" s="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x14ac:dyDescent="0.45">
      <c r="A313" s="2"/>
      <c r="B313" s="2"/>
      <c r="C313" s="3"/>
      <c r="D313" s="4"/>
      <c r="E313" s="5"/>
      <c r="F313" s="6"/>
      <c r="G313" s="7"/>
      <c r="H313" s="8"/>
      <c r="I313" s="5"/>
      <c r="J313" s="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x14ac:dyDescent="0.45">
      <c r="A314" s="2"/>
      <c r="B314" s="2"/>
      <c r="C314" s="3"/>
      <c r="D314" s="4"/>
      <c r="E314" s="5"/>
      <c r="F314" s="6"/>
      <c r="G314" s="7"/>
      <c r="H314" s="8"/>
      <c r="I314" s="5"/>
      <c r="J314" s="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x14ac:dyDescent="0.45">
      <c r="A315" s="2"/>
      <c r="B315" s="2"/>
      <c r="C315" s="3"/>
      <c r="D315" s="4"/>
      <c r="E315" s="5"/>
      <c r="F315" s="6"/>
      <c r="G315" s="7"/>
      <c r="H315" s="8"/>
      <c r="I315" s="5"/>
      <c r="J315" s="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x14ac:dyDescent="0.45">
      <c r="A316" s="2"/>
      <c r="B316" s="2"/>
      <c r="C316" s="3"/>
      <c r="D316" s="4"/>
      <c r="E316" s="5"/>
      <c r="F316" s="6"/>
      <c r="G316" s="7"/>
      <c r="H316" s="8"/>
      <c r="I316" s="5"/>
      <c r="J316" s="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x14ac:dyDescent="0.45">
      <c r="A317" s="2"/>
      <c r="B317" s="2"/>
      <c r="C317" s="3"/>
      <c r="D317" s="4"/>
      <c r="E317" s="5"/>
      <c r="F317" s="6"/>
      <c r="G317" s="7"/>
      <c r="H317" s="8"/>
      <c r="I317" s="5"/>
      <c r="J317" s="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x14ac:dyDescent="0.45">
      <c r="A318" s="2"/>
      <c r="B318" s="2"/>
      <c r="C318" s="3"/>
      <c r="D318" s="4"/>
      <c r="E318" s="5"/>
      <c r="F318" s="6"/>
      <c r="G318" s="7"/>
      <c r="H318" s="8"/>
      <c r="I318" s="5"/>
      <c r="J318" s="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x14ac:dyDescent="0.45">
      <c r="A319" s="2"/>
      <c r="B319" s="2"/>
      <c r="C319" s="3"/>
      <c r="D319" s="4"/>
      <c r="E319" s="5"/>
      <c r="F319" s="6"/>
      <c r="G319" s="7"/>
      <c r="H319" s="8"/>
      <c r="I319" s="5"/>
      <c r="J319" s="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x14ac:dyDescent="0.45">
      <c r="A320" s="2"/>
      <c r="B320" s="2"/>
      <c r="C320" s="3"/>
      <c r="D320" s="4"/>
      <c r="E320" s="5"/>
      <c r="F320" s="6"/>
      <c r="G320" s="7"/>
      <c r="H320" s="8"/>
      <c r="I320" s="5"/>
      <c r="J320" s="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x14ac:dyDescent="0.45">
      <c r="A321" s="2"/>
      <c r="B321" s="2"/>
      <c r="C321" s="3"/>
      <c r="D321" s="4"/>
      <c r="E321" s="5"/>
      <c r="F321" s="6"/>
      <c r="G321" s="7"/>
      <c r="H321" s="8"/>
      <c r="I321" s="5"/>
      <c r="J321" s="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x14ac:dyDescent="0.45">
      <c r="A322" s="2"/>
      <c r="B322" s="2"/>
      <c r="C322" s="3"/>
      <c r="D322" s="4"/>
      <c r="E322" s="5"/>
      <c r="F322" s="6"/>
      <c r="G322" s="7"/>
      <c r="H322" s="8"/>
      <c r="I322" s="5"/>
      <c r="J322" s="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x14ac:dyDescent="0.45">
      <c r="A323" s="2"/>
      <c r="B323" s="2"/>
      <c r="C323" s="3"/>
      <c r="D323" s="4"/>
      <c r="E323" s="5"/>
      <c r="F323" s="6"/>
      <c r="G323" s="7"/>
      <c r="H323" s="8"/>
      <c r="I323" s="5"/>
      <c r="J323" s="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x14ac:dyDescent="0.45">
      <c r="A324" s="2"/>
      <c r="B324" s="2"/>
      <c r="C324" s="3"/>
      <c r="D324" s="4"/>
      <c r="E324" s="5"/>
      <c r="F324" s="6"/>
      <c r="G324" s="7"/>
      <c r="H324" s="8"/>
      <c r="I324" s="5"/>
      <c r="J324" s="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x14ac:dyDescent="0.45">
      <c r="A325" s="2"/>
      <c r="B325" s="2"/>
      <c r="C325" s="3"/>
      <c r="D325" s="4"/>
      <c r="E325" s="5"/>
      <c r="F325" s="6"/>
      <c r="G325" s="7"/>
      <c r="H325" s="8"/>
      <c r="I325" s="5"/>
      <c r="J325" s="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x14ac:dyDescent="0.45">
      <c r="A326" s="2"/>
      <c r="B326" s="2"/>
      <c r="C326" s="3"/>
      <c r="D326" s="4"/>
      <c r="E326" s="5"/>
      <c r="F326" s="6"/>
      <c r="G326" s="7"/>
      <c r="H326" s="8"/>
      <c r="I326" s="5"/>
      <c r="J326" s="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x14ac:dyDescent="0.45">
      <c r="A327" s="2"/>
      <c r="B327" s="2"/>
      <c r="C327" s="3"/>
      <c r="D327" s="4"/>
      <c r="E327" s="5"/>
      <c r="F327" s="6"/>
      <c r="G327" s="7"/>
      <c r="H327" s="8"/>
      <c r="I327" s="5"/>
      <c r="J327" s="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x14ac:dyDescent="0.45">
      <c r="A328" s="2"/>
      <c r="B328" s="2"/>
      <c r="C328" s="3"/>
      <c r="D328" s="4"/>
      <c r="E328" s="5"/>
      <c r="F328" s="6"/>
      <c r="G328" s="7"/>
      <c r="H328" s="8"/>
      <c r="I328" s="5"/>
      <c r="J328" s="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x14ac:dyDescent="0.45">
      <c r="A329" s="2"/>
      <c r="B329" s="2"/>
      <c r="C329" s="3"/>
      <c r="D329" s="4"/>
      <c r="E329" s="5"/>
      <c r="F329" s="6"/>
      <c r="G329" s="7"/>
      <c r="H329" s="8"/>
      <c r="I329" s="5"/>
      <c r="J329" s="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x14ac:dyDescent="0.45">
      <c r="A330" s="2"/>
      <c r="B330" s="2"/>
      <c r="C330" s="3"/>
      <c r="D330" s="4"/>
      <c r="E330" s="5"/>
      <c r="F330" s="6"/>
      <c r="G330" s="7"/>
      <c r="H330" s="8"/>
      <c r="I330" s="5"/>
      <c r="J330" s="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x14ac:dyDescent="0.45">
      <c r="A331" s="2"/>
      <c r="B331" s="2"/>
      <c r="C331" s="3"/>
      <c r="D331" s="4"/>
      <c r="E331" s="5"/>
      <c r="F331" s="6"/>
      <c r="G331" s="7"/>
      <c r="H331" s="8"/>
      <c r="I331" s="5"/>
      <c r="J331" s="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x14ac:dyDescent="0.45">
      <c r="A332" s="2"/>
      <c r="B332" s="2"/>
      <c r="C332" s="3"/>
      <c r="D332" s="4"/>
      <c r="E332" s="5"/>
      <c r="F332" s="6"/>
      <c r="G332" s="7"/>
      <c r="H332" s="8"/>
      <c r="I332" s="5"/>
      <c r="J332" s="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x14ac:dyDescent="0.45">
      <c r="A333" s="2"/>
      <c r="B333" s="2"/>
      <c r="C333" s="3"/>
      <c r="D333" s="4"/>
      <c r="E333" s="5"/>
      <c r="F333" s="6"/>
      <c r="G333" s="7"/>
      <c r="H333" s="8"/>
      <c r="I333" s="5"/>
      <c r="J333" s="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x14ac:dyDescent="0.45">
      <c r="A334" s="2"/>
      <c r="B334" s="2"/>
      <c r="C334" s="3"/>
      <c r="D334" s="4"/>
      <c r="E334" s="5"/>
      <c r="F334" s="6"/>
      <c r="G334" s="7"/>
      <c r="H334" s="8"/>
      <c r="I334" s="5"/>
      <c r="J334" s="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x14ac:dyDescent="0.45">
      <c r="A335" s="2"/>
      <c r="B335" s="2"/>
      <c r="C335" s="3"/>
      <c r="D335" s="4"/>
      <c r="E335" s="5"/>
      <c r="F335" s="6"/>
      <c r="G335" s="7"/>
      <c r="H335" s="8"/>
      <c r="I335" s="5"/>
      <c r="J335" s="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x14ac:dyDescent="0.45">
      <c r="A336" s="2"/>
      <c r="B336" s="2"/>
      <c r="C336" s="3"/>
      <c r="D336" s="4"/>
      <c r="E336" s="5"/>
      <c r="F336" s="6"/>
      <c r="G336" s="7"/>
      <c r="H336" s="8"/>
      <c r="I336" s="5"/>
      <c r="J336" s="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x14ac:dyDescent="0.45">
      <c r="A337" s="2"/>
      <c r="B337" s="2"/>
      <c r="C337" s="3"/>
      <c r="D337" s="4"/>
      <c r="E337" s="5"/>
      <c r="F337" s="6"/>
      <c r="G337" s="7"/>
      <c r="H337" s="8"/>
      <c r="I337" s="5"/>
      <c r="J337" s="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x14ac:dyDescent="0.45">
      <c r="A338" s="2"/>
      <c r="B338" s="2"/>
      <c r="C338" s="3"/>
      <c r="D338" s="4"/>
      <c r="E338" s="5"/>
      <c r="F338" s="6"/>
      <c r="G338" s="7"/>
      <c r="H338" s="8"/>
      <c r="I338" s="5"/>
      <c r="J338" s="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x14ac:dyDescent="0.45">
      <c r="A339" s="2"/>
      <c r="B339" s="2"/>
      <c r="C339" s="3"/>
      <c r="D339" s="4"/>
      <c r="E339" s="5"/>
      <c r="F339" s="6"/>
      <c r="G339" s="7"/>
      <c r="H339" s="8"/>
      <c r="I339" s="5"/>
      <c r="J339" s="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x14ac:dyDescent="0.45">
      <c r="A340" s="2"/>
      <c r="B340" s="2"/>
      <c r="C340" s="3"/>
      <c r="D340" s="4"/>
      <c r="E340" s="5"/>
      <c r="F340" s="6"/>
      <c r="G340" s="7"/>
      <c r="H340" s="8"/>
      <c r="I340" s="5"/>
      <c r="J340" s="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x14ac:dyDescent="0.45">
      <c r="A341" s="2"/>
      <c r="B341" s="2"/>
      <c r="C341" s="3"/>
      <c r="D341" s="4"/>
      <c r="E341" s="5"/>
      <c r="F341" s="6"/>
      <c r="G341" s="7"/>
      <c r="H341" s="8"/>
      <c r="I341" s="5"/>
      <c r="J341" s="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x14ac:dyDescent="0.45">
      <c r="A342" s="2"/>
      <c r="B342" s="2"/>
      <c r="C342" s="3"/>
      <c r="D342" s="4"/>
      <c r="E342" s="5"/>
      <c r="F342" s="6"/>
      <c r="G342" s="7"/>
      <c r="H342" s="8"/>
      <c r="I342" s="5"/>
      <c r="J342" s="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x14ac:dyDescent="0.45">
      <c r="A343" s="2"/>
      <c r="B343" s="2"/>
      <c r="C343" s="3"/>
      <c r="D343" s="4"/>
      <c r="E343" s="5"/>
      <c r="F343" s="6"/>
      <c r="G343" s="7"/>
      <c r="H343" s="8"/>
      <c r="I343" s="5"/>
      <c r="J343" s="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x14ac:dyDescent="0.45">
      <c r="A344" s="2"/>
      <c r="B344" s="2"/>
      <c r="C344" s="3"/>
      <c r="D344" s="4"/>
      <c r="E344" s="5"/>
      <c r="F344" s="6"/>
      <c r="G344" s="7"/>
      <c r="H344" s="8"/>
      <c r="I344" s="5"/>
      <c r="J344" s="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x14ac:dyDescent="0.45">
      <c r="A345" s="2"/>
      <c r="B345" s="2"/>
      <c r="C345" s="3"/>
      <c r="D345" s="4"/>
      <c r="E345" s="5"/>
      <c r="F345" s="6"/>
      <c r="G345" s="7"/>
      <c r="H345" s="8"/>
      <c r="I345" s="5"/>
      <c r="J345" s="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x14ac:dyDescent="0.45">
      <c r="A346" s="2"/>
      <c r="B346" s="2"/>
      <c r="C346" s="3"/>
      <c r="D346" s="4"/>
      <c r="E346" s="5"/>
      <c r="F346" s="6"/>
      <c r="G346" s="7"/>
      <c r="H346" s="8"/>
      <c r="I346" s="5"/>
      <c r="J346" s="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x14ac:dyDescent="0.45">
      <c r="A347" s="2"/>
      <c r="B347" s="2"/>
      <c r="C347" s="3"/>
      <c r="D347" s="4"/>
      <c r="E347" s="5"/>
      <c r="F347" s="6"/>
      <c r="G347" s="7"/>
      <c r="H347" s="8"/>
      <c r="I347" s="5"/>
      <c r="J347" s="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x14ac:dyDescent="0.45">
      <c r="A348" s="2"/>
      <c r="B348" s="2"/>
      <c r="C348" s="3"/>
      <c r="D348" s="4"/>
      <c r="E348" s="5"/>
      <c r="F348" s="6"/>
      <c r="G348" s="7"/>
      <c r="H348" s="8"/>
      <c r="I348" s="5"/>
      <c r="J348" s="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x14ac:dyDescent="0.45">
      <c r="A349" s="2"/>
      <c r="B349" s="2"/>
      <c r="C349" s="3"/>
      <c r="D349" s="4"/>
      <c r="E349" s="5"/>
      <c r="F349" s="6"/>
      <c r="G349" s="7"/>
      <c r="H349" s="8"/>
      <c r="I349" s="5"/>
      <c r="J349" s="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x14ac:dyDescent="0.45">
      <c r="A350" s="2"/>
      <c r="B350" s="2"/>
      <c r="C350" s="3"/>
      <c r="D350" s="4"/>
      <c r="E350" s="5"/>
      <c r="F350" s="6"/>
      <c r="G350" s="7"/>
      <c r="H350" s="8"/>
      <c r="I350" s="5"/>
      <c r="J350" s="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x14ac:dyDescent="0.45">
      <c r="A351" s="2"/>
      <c r="B351" s="2"/>
      <c r="C351" s="3"/>
      <c r="D351" s="4"/>
      <c r="E351" s="5"/>
      <c r="F351" s="6"/>
      <c r="G351" s="7"/>
      <c r="H351" s="8"/>
      <c r="I351" s="5"/>
      <c r="J351" s="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x14ac:dyDescent="0.45">
      <c r="A352" s="2"/>
      <c r="B352" s="2"/>
      <c r="C352" s="3"/>
      <c r="D352" s="4"/>
      <c r="E352" s="5"/>
      <c r="F352" s="6"/>
      <c r="G352" s="7"/>
      <c r="H352" s="8"/>
      <c r="I352" s="5"/>
      <c r="J352" s="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x14ac:dyDescent="0.45">
      <c r="A353" s="2"/>
      <c r="B353" s="2"/>
      <c r="C353" s="3"/>
      <c r="D353" s="4"/>
      <c r="E353" s="5"/>
      <c r="F353" s="6"/>
      <c r="G353" s="7"/>
      <c r="H353" s="8"/>
      <c r="I353" s="5"/>
      <c r="J353" s="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x14ac:dyDescent="0.45">
      <c r="A354" s="2"/>
      <c r="B354" s="2"/>
      <c r="C354" s="3"/>
      <c r="D354" s="4"/>
      <c r="E354" s="5"/>
      <c r="F354" s="6"/>
      <c r="G354" s="7"/>
      <c r="H354" s="8"/>
      <c r="I354" s="5"/>
      <c r="J354" s="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x14ac:dyDescent="0.45">
      <c r="A355" s="2"/>
      <c r="B355" s="2"/>
      <c r="C355" s="3"/>
      <c r="D355" s="4"/>
      <c r="E355" s="5"/>
      <c r="F355" s="6"/>
      <c r="G355" s="7"/>
      <c r="H355" s="8"/>
      <c r="I355" s="5"/>
      <c r="J355" s="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x14ac:dyDescent="0.45">
      <c r="A356" s="2"/>
      <c r="B356" s="2"/>
      <c r="C356" s="3"/>
      <c r="D356" s="4"/>
      <c r="E356" s="5"/>
      <c r="F356" s="6"/>
      <c r="G356" s="7"/>
      <c r="H356" s="8"/>
      <c r="I356" s="5"/>
      <c r="J356" s="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x14ac:dyDescent="0.45">
      <c r="A357" s="2"/>
      <c r="B357" s="2"/>
      <c r="C357" s="3"/>
      <c r="D357" s="4"/>
      <c r="E357" s="5"/>
      <c r="F357" s="6"/>
      <c r="G357" s="7"/>
      <c r="H357" s="8"/>
      <c r="I357" s="5"/>
      <c r="J357" s="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x14ac:dyDescent="0.45">
      <c r="A358" s="2"/>
      <c r="B358" s="2"/>
      <c r="C358" s="3"/>
      <c r="D358" s="4"/>
      <c r="E358" s="5"/>
      <c r="F358" s="6"/>
      <c r="G358" s="7"/>
      <c r="H358" s="8"/>
      <c r="I358" s="5"/>
      <c r="J358" s="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x14ac:dyDescent="0.45">
      <c r="A359" s="2"/>
      <c r="B359" s="2"/>
      <c r="C359" s="3"/>
      <c r="D359" s="4"/>
      <c r="E359" s="5"/>
      <c r="F359" s="6"/>
      <c r="G359" s="7"/>
      <c r="H359" s="8"/>
      <c r="I359" s="5"/>
      <c r="J359" s="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x14ac:dyDescent="0.45">
      <c r="A360" s="2"/>
      <c r="B360" s="2"/>
      <c r="C360" s="3"/>
      <c r="D360" s="4"/>
      <c r="E360" s="5"/>
      <c r="F360" s="6"/>
      <c r="G360" s="7"/>
      <c r="H360" s="8"/>
      <c r="I360" s="5"/>
      <c r="J360" s="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x14ac:dyDescent="0.45">
      <c r="A361" s="2"/>
      <c r="B361" s="2"/>
      <c r="C361" s="3"/>
      <c r="D361" s="4"/>
      <c r="E361" s="5"/>
      <c r="F361" s="6"/>
      <c r="G361" s="7"/>
      <c r="H361" s="8"/>
      <c r="I361" s="5"/>
      <c r="J361" s="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x14ac:dyDescent="0.45">
      <c r="A362" s="2"/>
      <c r="B362" s="2"/>
      <c r="C362" s="3"/>
      <c r="D362" s="4"/>
      <c r="E362" s="5"/>
      <c r="F362" s="6"/>
      <c r="G362" s="7"/>
      <c r="H362" s="8"/>
      <c r="I362" s="5"/>
      <c r="J362" s="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x14ac:dyDescent="0.45">
      <c r="A363" s="2"/>
      <c r="B363" s="2"/>
      <c r="C363" s="3"/>
      <c r="D363" s="4"/>
      <c r="E363" s="5"/>
      <c r="F363" s="6"/>
      <c r="G363" s="7"/>
      <c r="H363" s="8"/>
      <c r="I363" s="5"/>
      <c r="J363" s="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x14ac:dyDescent="0.45">
      <c r="A364" s="2"/>
      <c r="B364" s="2"/>
      <c r="C364" s="3"/>
      <c r="D364" s="4"/>
      <c r="E364" s="5"/>
      <c r="F364" s="6"/>
      <c r="G364" s="7"/>
      <c r="H364" s="8"/>
      <c r="I364" s="5"/>
      <c r="J364" s="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x14ac:dyDescent="0.45">
      <c r="A365" s="2"/>
      <c r="B365" s="2"/>
      <c r="C365" s="3"/>
      <c r="D365" s="4"/>
      <c r="E365" s="5"/>
      <c r="F365" s="6"/>
      <c r="G365" s="7"/>
      <c r="H365" s="8"/>
      <c r="I365" s="5"/>
      <c r="J365" s="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x14ac:dyDescent="0.45">
      <c r="A366" s="2"/>
      <c r="B366" s="2"/>
      <c r="C366" s="3"/>
      <c r="D366" s="4"/>
      <c r="E366" s="5"/>
      <c r="F366" s="6"/>
      <c r="G366" s="7"/>
      <c r="H366" s="8"/>
      <c r="I366" s="5"/>
      <c r="J366" s="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x14ac:dyDescent="0.45">
      <c r="A367" s="2"/>
      <c r="B367" s="2"/>
      <c r="C367" s="3"/>
      <c r="D367" s="4"/>
      <c r="E367" s="5"/>
      <c r="F367" s="6"/>
      <c r="G367" s="7"/>
      <c r="H367" s="8"/>
      <c r="I367" s="5"/>
      <c r="J367" s="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x14ac:dyDescent="0.45">
      <c r="A368" s="2"/>
      <c r="B368" s="2"/>
      <c r="C368" s="3"/>
      <c r="D368" s="4"/>
      <c r="E368" s="5"/>
      <c r="F368" s="6"/>
      <c r="G368" s="7"/>
      <c r="H368" s="8"/>
      <c r="I368" s="5"/>
      <c r="J368" s="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x14ac:dyDescent="0.45">
      <c r="A369" s="2"/>
      <c r="B369" s="2"/>
      <c r="C369" s="3"/>
      <c r="D369" s="4"/>
      <c r="E369" s="5"/>
      <c r="F369" s="6"/>
      <c r="G369" s="7"/>
      <c r="H369" s="8"/>
      <c r="I369" s="5"/>
      <c r="J369" s="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x14ac:dyDescent="0.45">
      <c r="A370" s="2"/>
      <c r="B370" s="2"/>
      <c r="C370" s="3"/>
      <c r="D370" s="4"/>
      <c r="E370" s="5"/>
      <c r="F370" s="6"/>
      <c r="G370" s="7"/>
      <c r="H370" s="8"/>
      <c r="I370" s="5"/>
      <c r="J370" s="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x14ac:dyDescent="0.45">
      <c r="A371" s="2"/>
      <c r="B371" s="2"/>
      <c r="C371" s="3"/>
      <c r="D371" s="4"/>
      <c r="E371" s="5"/>
      <c r="F371" s="6"/>
      <c r="G371" s="7"/>
      <c r="H371" s="8"/>
      <c r="I371" s="5"/>
      <c r="J371" s="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x14ac:dyDescent="0.45">
      <c r="A372" s="2"/>
      <c r="B372" s="2"/>
      <c r="C372" s="3"/>
      <c r="D372" s="4"/>
      <c r="E372" s="5"/>
      <c r="F372" s="6"/>
      <c r="G372" s="7"/>
      <c r="H372" s="8"/>
      <c r="I372" s="5"/>
      <c r="J372" s="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x14ac:dyDescent="0.45">
      <c r="A373" s="2"/>
      <c r="B373" s="2"/>
      <c r="C373" s="3"/>
      <c r="D373" s="4"/>
      <c r="E373" s="5"/>
      <c r="F373" s="6"/>
      <c r="G373" s="7"/>
      <c r="H373" s="8"/>
      <c r="I373" s="5"/>
      <c r="J373" s="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x14ac:dyDescent="0.45">
      <c r="A374" s="2"/>
      <c r="B374" s="2"/>
      <c r="C374" s="3"/>
      <c r="D374" s="4"/>
      <c r="E374" s="5"/>
      <c r="F374" s="6"/>
      <c r="G374" s="7"/>
      <c r="H374" s="8"/>
      <c r="I374" s="5"/>
      <c r="J374" s="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x14ac:dyDescent="0.45">
      <c r="A375" s="2"/>
      <c r="B375" s="2"/>
      <c r="C375" s="3"/>
      <c r="D375" s="4"/>
      <c r="E375" s="5"/>
      <c r="F375" s="6"/>
      <c r="G375" s="7"/>
      <c r="H375" s="8"/>
      <c r="I375" s="5"/>
      <c r="J375" s="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x14ac:dyDescent="0.45">
      <c r="A376" s="2"/>
      <c r="B376" s="2"/>
      <c r="C376" s="3"/>
      <c r="D376" s="4"/>
      <c r="E376" s="5"/>
      <c r="F376" s="6"/>
      <c r="G376" s="7"/>
      <c r="H376" s="8"/>
      <c r="I376" s="5"/>
      <c r="J376" s="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x14ac:dyDescent="0.45">
      <c r="A377" s="2"/>
      <c r="B377" s="2"/>
      <c r="C377" s="3"/>
      <c r="D377" s="4"/>
      <c r="E377" s="5"/>
      <c r="F377" s="6"/>
      <c r="G377" s="7"/>
      <c r="H377" s="8"/>
      <c r="I377" s="5"/>
      <c r="J377" s="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x14ac:dyDescent="0.45">
      <c r="A378" s="2"/>
      <c r="B378" s="2"/>
      <c r="C378" s="3"/>
      <c r="D378" s="4"/>
      <c r="E378" s="5"/>
      <c r="F378" s="6"/>
      <c r="G378" s="7"/>
      <c r="H378" s="8"/>
      <c r="I378" s="5"/>
      <c r="J378" s="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x14ac:dyDescent="0.45">
      <c r="A379" s="2"/>
      <c r="B379" s="2"/>
      <c r="C379" s="3"/>
      <c r="D379" s="4"/>
      <c r="E379" s="5"/>
      <c r="F379" s="6"/>
      <c r="G379" s="7"/>
      <c r="H379" s="8"/>
      <c r="I379" s="5"/>
      <c r="J379" s="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x14ac:dyDescent="0.45">
      <c r="A380" s="2"/>
      <c r="B380" s="2"/>
      <c r="C380" s="3"/>
      <c r="D380" s="4"/>
      <c r="E380" s="5"/>
      <c r="F380" s="6"/>
      <c r="G380" s="7"/>
      <c r="H380" s="8"/>
      <c r="I380" s="5"/>
      <c r="J380" s="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x14ac:dyDescent="0.45">
      <c r="A381" s="2"/>
      <c r="B381" s="2"/>
      <c r="C381" s="3"/>
      <c r="D381" s="4"/>
      <c r="E381" s="5"/>
      <c r="F381" s="6"/>
      <c r="G381" s="7"/>
      <c r="H381" s="8"/>
      <c r="I381" s="5"/>
      <c r="J381" s="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x14ac:dyDescent="0.45">
      <c r="A382" s="2"/>
      <c r="B382" s="2"/>
      <c r="C382" s="3"/>
      <c r="D382" s="4"/>
      <c r="E382" s="5"/>
      <c r="F382" s="6"/>
      <c r="G382" s="7"/>
      <c r="H382" s="8"/>
      <c r="I382" s="5"/>
      <c r="J382" s="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x14ac:dyDescent="0.45">
      <c r="A383" s="2"/>
      <c r="B383" s="2"/>
      <c r="C383" s="3"/>
      <c r="D383" s="4"/>
      <c r="E383" s="5"/>
      <c r="F383" s="6"/>
      <c r="G383" s="7"/>
      <c r="H383" s="8"/>
      <c r="I383" s="5"/>
      <c r="J383" s="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x14ac:dyDescent="0.45">
      <c r="A384" s="2"/>
      <c r="B384" s="2"/>
      <c r="C384" s="3"/>
      <c r="D384" s="4"/>
      <c r="E384" s="5"/>
      <c r="F384" s="6"/>
      <c r="G384" s="7"/>
      <c r="H384" s="8"/>
      <c r="I384" s="5"/>
      <c r="J384" s="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x14ac:dyDescent="0.45">
      <c r="A385" s="2"/>
      <c r="B385" s="2"/>
      <c r="C385" s="3"/>
      <c r="D385" s="4"/>
      <c r="E385" s="5"/>
      <c r="F385" s="6"/>
      <c r="G385" s="7"/>
      <c r="H385" s="8"/>
      <c r="I385" s="5"/>
      <c r="J385" s="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x14ac:dyDescent="0.45">
      <c r="A386" s="2"/>
      <c r="B386" s="2"/>
      <c r="C386" s="3"/>
      <c r="D386" s="4"/>
      <c r="E386" s="5"/>
      <c r="F386" s="6"/>
      <c r="G386" s="7"/>
      <c r="H386" s="8"/>
      <c r="I386" s="5"/>
      <c r="J386" s="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x14ac:dyDescent="0.45">
      <c r="A387" s="2"/>
      <c r="B387" s="2"/>
      <c r="C387" s="3"/>
      <c r="D387" s="4"/>
      <c r="E387" s="5"/>
      <c r="F387" s="6"/>
      <c r="G387" s="7"/>
      <c r="H387" s="8"/>
      <c r="I387" s="5"/>
      <c r="J387" s="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x14ac:dyDescent="0.45">
      <c r="A388" s="2"/>
      <c r="B388" s="2"/>
      <c r="C388" s="3"/>
      <c r="D388" s="4"/>
      <c r="E388" s="5"/>
      <c r="F388" s="6"/>
      <c r="G388" s="7"/>
      <c r="H388" s="8"/>
      <c r="I388" s="5"/>
      <c r="J388" s="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x14ac:dyDescent="0.45">
      <c r="A389" s="2"/>
      <c r="B389" s="2"/>
      <c r="C389" s="3"/>
      <c r="D389" s="4"/>
      <c r="E389" s="5"/>
      <c r="F389" s="6"/>
      <c r="G389" s="7"/>
      <c r="H389" s="8"/>
      <c r="I389" s="5"/>
      <c r="J389" s="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x14ac:dyDescent="0.45">
      <c r="A390" s="2"/>
      <c r="B390" s="2"/>
      <c r="C390" s="3"/>
      <c r="D390" s="4"/>
      <c r="E390" s="5"/>
      <c r="F390" s="6"/>
      <c r="G390" s="7"/>
      <c r="H390" s="8"/>
      <c r="I390" s="5"/>
      <c r="J390" s="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x14ac:dyDescent="0.45">
      <c r="A391" s="2"/>
      <c r="B391" s="2"/>
      <c r="C391" s="3"/>
      <c r="D391" s="4"/>
      <c r="E391" s="5"/>
      <c r="F391" s="6"/>
      <c r="G391" s="7"/>
      <c r="H391" s="8"/>
      <c r="I391" s="5"/>
      <c r="J391" s="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x14ac:dyDescent="0.45">
      <c r="A392" s="2"/>
      <c r="B392" s="2"/>
      <c r="C392" s="3"/>
      <c r="D392" s="4"/>
      <c r="E392" s="5"/>
      <c r="F392" s="6"/>
      <c r="G392" s="7"/>
      <c r="H392" s="8"/>
      <c r="I392" s="5"/>
      <c r="J392" s="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x14ac:dyDescent="0.45">
      <c r="A393" s="2"/>
      <c r="B393" s="2"/>
      <c r="C393" s="3"/>
      <c r="D393" s="4"/>
      <c r="E393" s="5"/>
      <c r="F393" s="6"/>
      <c r="G393" s="7"/>
      <c r="H393" s="8"/>
      <c r="I393" s="5"/>
      <c r="J393" s="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x14ac:dyDescent="0.45">
      <c r="A394" s="2"/>
      <c r="B394" s="2"/>
      <c r="C394" s="3"/>
      <c r="D394" s="4"/>
      <c r="E394" s="5"/>
      <c r="F394" s="6"/>
      <c r="G394" s="7"/>
      <c r="H394" s="8"/>
      <c r="I394" s="5"/>
      <c r="J394" s="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x14ac:dyDescent="0.45">
      <c r="A395" s="2"/>
      <c r="B395" s="2"/>
      <c r="C395" s="3"/>
      <c r="D395" s="4"/>
      <c r="E395" s="5"/>
      <c r="F395" s="6"/>
      <c r="G395" s="7"/>
      <c r="H395" s="8"/>
      <c r="I395" s="5"/>
      <c r="J395" s="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x14ac:dyDescent="0.45">
      <c r="A396" s="2"/>
      <c r="B396" s="2"/>
      <c r="C396" s="3"/>
      <c r="D396" s="4"/>
      <c r="E396" s="5"/>
      <c r="F396" s="6"/>
      <c r="G396" s="7"/>
      <c r="H396" s="8"/>
      <c r="I396" s="5"/>
      <c r="J396" s="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x14ac:dyDescent="0.45">
      <c r="A397" s="2"/>
      <c r="B397" s="2"/>
      <c r="C397" s="3"/>
      <c r="D397" s="4"/>
      <c r="E397" s="5"/>
      <c r="F397" s="6"/>
      <c r="G397" s="7"/>
      <c r="H397" s="8"/>
      <c r="I397" s="5"/>
      <c r="J397" s="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x14ac:dyDescent="0.45">
      <c r="A398" s="2"/>
      <c r="B398" s="2"/>
      <c r="C398" s="3"/>
      <c r="D398" s="4"/>
      <c r="E398" s="5"/>
      <c r="F398" s="6"/>
      <c r="G398" s="7"/>
      <c r="H398" s="8"/>
      <c r="I398" s="5"/>
      <c r="J398" s="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x14ac:dyDescent="0.45">
      <c r="A399" s="2"/>
      <c r="B399" s="2"/>
      <c r="C399" s="3"/>
      <c r="D399" s="4"/>
      <c r="E399" s="5"/>
      <c r="F399" s="6"/>
      <c r="G399" s="7"/>
      <c r="H399" s="8"/>
      <c r="I399" s="5"/>
      <c r="J399" s="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x14ac:dyDescent="0.45">
      <c r="A400" s="2"/>
      <c r="B400" s="2"/>
      <c r="C400" s="3"/>
      <c r="D400" s="4"/>
      <c r="E400" s="5"/>
      <c r="F400" s="6"/>
      <c r="G400" s="7"/>
      <c r="H400" s="8"/>
      <c r="I400" s="5"/>
      <c r="J400" s="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x14ac:dyDescent="0.45">
      <c r="A401" s="2"/>
      <c r="B401" s="2"/>
      <c r="C401" s="3"/>
      <c r="D401" s="4"/>
      <c r="E401" s="5"/>
      <c r="F401" s="6"/>
      <c r="G401" s="7"/>
      <c r="H401" s="8"/>
      <c r="I401" s="5"/>
      <c r="J401" s="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x14ac:dyDescent="0.45">
      <c r="A402" s="2"/>
      <c r="B402" s="2"/>
      <c r="C402" s="3"/>
      <c r="D402" s="4"/>
      <c r="E402" s="5"/>
      <c r="F402" s="6"/>
      <c r="G402" s="7"/>
      <c r="H402" s="8"/>
      <c r="I402" s="5"/>
      <c r="J402" s="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x14ac:dyDescent="0.45">
      <c r="A403" s="2"/>
      <c r="B403" s="2"/>
      <c r="C403" s="3"/>
      <c r="D403" s="4"/>
      <c r="E403" s="5"/>
      <c r="F403" s="6"/>
      <c r="G403" s="7"/>
      <c r="H403" s="8"/>
      <c r="I403" s="5"/>
      <c r="J403" s="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x14ac:dyDescent="0.45">
      <c r="A404" s="2"/>
      <c r="B404" s="2"/>
      <c r="C404" s="3"/>
      <c r="D404" s="4"/>
      <c r="E404" s="5"/>
      <c r="F404" s="6"/>
      <c r="G404" s="7"/>
      <c r="H404" s="8"/>
      <c r="I404" s="5"/>
      <c r="J404" s="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x14ac:dyDescent="0.45">
      <c r="A405" s="2"/>
      <c r="B405" s="2"/>
      <c r="C405" s="3"/>
      <c r="D405" s="4"/>
      <c r="E405" s="5"/>
      <c r="F405" s="6"/>
      <c r="G405" s="7"/>
      <c r="H405" s="8"/>
      <c r="I405" s="5"/>
      <c r="J405" s="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x14ac:dyDescent="0.45">
      <c r="A406" s="2"/>
      <c r="B406" s="2"/>
      <c r="C406" s="3"/>
      <c r="D406" s="4"/>
      <c r="E406" s="5"/>
      <c r="F406" s="6"/>
      <c r="G406" s="7"/>
      <c r="H406" s="8"/>
      <c r="I406" s="5"/>
      <c r="J406" s="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x14ac:dyDescent="0.45">
      <c r="A407" s="2"/>
      <c r="B407" s="2"/>
      <c r="C407" s="3"/>
      <c r="D407" s="4"/>
      <c r="E407" s="5"/>
      <c r="F407" s="6"/>
      <c r="G407" s="7"/>
      <c r="H407" s="8"/>
      <c r="I407" s="5"/>
      <c r="J407" s="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x14ac:dyDescent="0.45">
      <c r="A408" s="2"/>
      <c r="B408" s="2"/>
      <c r="C408" s="3"/>
      <c r="D408" s="4"/>
      <c r="E408" s="5"/>
      <c r="F408" s="6"/>
      <c r="G408" s="7"/>
      <c r="H408" s="8"/>
      <c r="I408" s="5"/>
      <c r="J408" s="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x14ac:dyDescent="0.45">
      <c r="A409" s="2"/>
      <c r="B409" s="2"/>
      <c r="C409" s="3"/>
      <c r="D409" s="4"/>
      <c r="E409" s="5"/>
      <c r="F409" s="6"/>
      <c r="G409" s="7"/>
      <c r="H409" s="8"/>
      <c r="I409" s="5"/>
      <c r="J409" s="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x14ac:dyDescent="0.45">
      <c r="A410" s="2"/>
      <c r="B410" s="2"/>
      <c r="C410" s="3"/>
      <c r="D410" s="4"/>
      <c r="E410" s="5"/>
      <c r="F410" s="6"/>
      <c r="G410" s="7"/>
      <c r="H410" s="8"/>
      <c r="I410" s="5"/>
      <c r="J410" s="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x14ac:dyDescent="0.45">
      <c r="A411" s="2"/>
      <c r="B411" s="2"/>
      <c r="C411" s="3"/>
      <c r="D411" s="4"/>
      <c r="E411" s="5"/>
      <c r="F411" s="6"/>
      <c r="G411" s="7"/>
      <c r="H411" s="8"/>
      <c r="I411" s="5"/>
      <c r="J411" s="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x14ac:dyDescent="0.45">
      <c r="A412" s="2"/>
      <c r="B412" s="2"/>
      <c r="C412" s="3"/>
      <c r="D412" s="4"/>
      <c r="E412" s="5"/>
      <c r="F412" s="6"/>
      <c r="G412" s="7"/>
      <c r="H412" s="8"/>
      <c r="I412" s="5"/>
      <c r="J412" s="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x14ac:dyDescent="0.45">
      <c r="A413" s="2"/>
      <c r="B413" s="2"/>
      <c r="C413" s="3"/>
      <c r="D413" s="4"/>
      <c r="E413" s="5"/>
      <c r="F413" s="6"/>
      <c r="G413" s="7"/>
      <c r="H413" s="8"/>
      <c r="I413" s="5"/>
      <c r="J413" s="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x14ac:dyDescent="0.45">
      <c r="A414" s="2"/>
      <c r="B414" s="2"/>
      <c r="C414" s="3"/>
      <c r="D414" s="4"/>
      <c r="E414" s="5"/>
      <c r="F414" s="6"/>
      <c r="G414" s="7"/>
      <c r="H414" s="8"/>
      <c r="I414" s="5"/>
      <c r="J414" s="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x14ac:dyDescent="0.45">
      <c r="A415" s="2"/>
      <c r="B415" s="2"/>
      <c r="C415" s="3"/>
      <c r="D415" s="4"/>
      <c r="E415" s="5"/>
      <c r="F415" s="6"/>
      <c r="G415" s="7"/>
      <c r="H415" s="8"/>
      <c r="I415" s="5"/>
      <c r="J415" s="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x14ac:dyDescent="0.45">
      <c r="A416" s="2"/>
      <c r="B416" s="2"/>
      <c r="C416" s="3"/>
      <c r="D416" s="4"/>
      <c r="E416" s="5"/>
      <c r="F416" s="6"/>
      <c r="G416" s="7"/>
      <c r="H416" s="8"/>
      <c r="I416" s="5"/>
      <c r="J416" s="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x14ac:dyDescent="0.45">
      <c r="A417" s="2"/>
      <c r="B417" s="2"/>
      <c r="C417" s="3"/>
      <c r="D417" s="4"/>
      <c r="E417" s="5"/>
      <c r="F417" s="6"/>
      <c r="G417" s="7"/>
      <c r="H417" s="8"/>
      <c r="I417" s="5"/>
      <c r="J417" s="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x14ac:dyDescent="0.45">
      <c r="A418" s="2"/>
      <c r="B418" s="2"/>
      <c r="C418" s="3"/>
      <c r="D418" s="4"/>
      <c r="E418" s="5"/>
      <c r="F418" s="6"/>
      <c r="G418" s="7"/>
      <c r="H418" s="8"/>
      <c r="I418" s="5"/>
      <c r="J418" s="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x14ac:dyDescent="0.45">
      <c r="A419" s="2"/>
      <c r="B419" s="2"/>
      <c r="C419" s="3"/>
      <c r="D419" s="4"/>
      <c r="E419" s="5"/>
      <c r="F419" s="6"/>
      <c r="G419" s="7"/>
      <c r="H419" s="8"/>
      <c r="I419" s="5"/>
      <c r="J419" s="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x14ac:dyDescent="0.45">
      <c r="A420" s="2"/>
      <c r="B420" s="2"/>
      <c r="C420" s="3"/>
      <c r="D420" s="4"/>
      <c r="E420" s="5"/>
      <c r="F420" s="6"/>
      <c r="G420" s="7"/>
      <c r="H420" s="8"/>
      <c r="I420" s="5"/>
      <c r="J420" s="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x14ac:dyDescent="0.45">
      <c r="A421" s="2"/>
      <c r="B421" s="2"/>
      <c r="C421" s="3"/>
      <c r="D421" s="4"/>
      <c r="E421" s="5"/>
      <c r="F421" s="6"/>
      <c r="G421" s="7"/>
      <c r="H421" s="8"/>
      <c r="I421" s="5"/>
      <c r="J421" s="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x14ac:dyDescent="0.45">
      <c r="A422" s="2"/>
      <c r="B422" s="2"/>
      <c r="C422" s="3"/>
      <c r="D422" s="4"/>
      <c r="E422" s="5"/>
      <c r="F422" s="6"/>
      <c r="G422" s="7"/>
      <c r="H422" s="8"/>
      <c r="I422" s="5"/>
      <c r="J422" s="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x14ac:dyDescent="0.45">
      <c r="A423" s="2"/>
      <c r="B423" s="2"/>
      <c r="C423" s="3"/>
      <c r="D423" s="4"/>
      <c r="E423" s="5"/>
      <c r="F423" s="6"/>
      <c r="G423" s="7"/>
      <c r="H423" s="8"/>
      <c r="I423" s="5"/>
      <c r="J423" s="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x14ac:dyDescent="0.45">
      <c r="A424" s="2"/>
      <c r="B424" s="2"/>
      <c r="C424" s="3"/>
      <c r="D424" s="4"/>
      <c r="E424" s="5"/>
      <c r="F424" s="6"/>
      <c r="G424" s="7"/>
      <c r="H424" s="8"/>
      <c r="I424" s="5"/>
      <c r="J424" s="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x14ac:dyDescent="0.45">
      <c r="A425" s="2"/>
      <c r="B425" s="2"/>
      <c r="C425" s="3"/>
      <c r="D425" s="4"/>
      <c r="E425" s="5"/>
      <c r="F425" s="6"/>
      <c r="G425" s="7"/>
      <c r="H425" s="8"/>
      <c r="I425" s="5"/>
      <c r="J425" s="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x14ac:dyDescent="0.45">
      <c r="A426" s="2"/>
      <c r="B426" s="2"/>
      <c r="C426" s="3"/>
      <c r="D426" s="4"/>
      <c r="E426" s="5"/>
      <c r="F426" s="6"/>
      <c r="G426" s="7"/>
      <c r="H426" s="8"/>
      <c r="I426" s="5"/>
      <c r="J426" s="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x14ac:dyDescent="0.45">
      <c r="A427" s="2"/>
      <c r="B427" s="2"/>
      <c r="C427" s="3"/>
      <c r="D427" s="4"/>
      <c r="E427" s="5"/>
      <c r="F427" s="6"/>
      <c r="G427" s="7"/>
      <c r="H427" s="8"/>
      <c r="I427" s="5"/>
      <c r="J427" s="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x14ac:dyDescent="0.45">
      <c r="A428" s="2"/>
      <c r="B428" s="2"/>
      <c r="C428" s="3"/>
      <c r="D428" s="4"/>
      <c r="E428" s="5"/>
      <c r="F428" s="6"/>
      <c r="G428" s="7"/>
      <c r="H428" s="8"/>
      <c r="I428" s="5"/>
      <c r="J428" s="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x14ac:dyDescent="0.45">
      <c r="A429" s="2"/>
      <c r="B429" s="2"/>
      <c r="C429" s="3"/>
      <c r="D429" s="4"/>
      <c r="E429" s="5"/>
      <c r="F429" s="6"/>
      <c r="G429" s="7"/>
      <c r="H429" s="8"/>
      <c r="I429" s="5"/>
      <c r="J429" s="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x14ac:dyDescent="0.45">
      <c r="A430" s="2"/>
      <c r="B430" s="2"/>
      <c r="C430" s="3"/>
      <c r="D430" s="4"/>
      <c r="E430" s="5"/>
      <c r="F430" s="6"/>
      <c r="G430" s="7"/>
      <c r="H430" s="8"/>
      <c r="I430" s="5"/>
      <c r="J430" s="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x14ac:dyDescent="0.45">
      <c r="A431" s="2"/>
      <c r="B431" s="2"/>
      <c r="C431" s="3"/>
      <c r="D431" s="4"/>
      <c r="E431" s="5"/>
      <c r="F431" s="6"/>
      <c r="G431" s="7"/>
      <c r="H431" s="8"/>
      <c r="I431" s="5"/>
      <c r="J431" s="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x14ac:dyDescent="0.45">
      <c r="A432" s="2"/>
      <c r="B432" s="2"/>
      <c r="C432" s="3"/>
      <c r="D432" s="4"/>
      <c r="E432" s="5"/>
      <c r="F432" s="6"/>
      <c r="G432" s="7"/>
      <c r="H432" s="8"/>
      <c r="I432" s="5"/>
      <c r="J432" s="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x14ac:dyDescent="0.45">
      <c r="A433" s="2"/>
      <c r="B433" s="2"/>
      <c r="C433" s="3"/>
      <c r="D433" s="4"/>
      <c r="E433" s="5"/>
      <c r="F433" s="6"/>
      <c r="G433" s="7"/>
      <c r="H433" s="8"/>
      <c r="I433" s="5"/>
      <c r="J433" s="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x14ac:dyDescent="0.45">
      <c r="A434" s="2"/>
      <c r="B434" s="2"/>
      <c r="C434" s="3"/>
      <c r="D434" s="4"/>
      <c r="E434" s="5"/>
      <c r="F434" s="6"/>
      <c r="G434" s="7"/>
      <c r="H434" s="8"/>
      <c r="I434" s="5"/>
      <c r="J434" s="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x14ac:dyDescent="0.45">
      <c r="A435" s="2"/>
      <c r="B435" s="2"/>
      <c r="C435" s="3"/>
      <c r="D435" s="4"/>
      <c r="E435" s="5"/>
      <c r="F435" s="6"/>
      <c r="G435" s="7"/>
      <c r="H435" s="8"/>
      <c r="I435" s="5"/>
      <c r="J435" s="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x14ac:dyDescent="0.45">
      <c r="A436" s="2"/>
      <c r="B436" s="2"/>
      <c r="C436" s="3"/>
      <c r="D436" s="4"/>
      <c r="E436" s="5"/>
      <c r="F436" s="6"/>
      <c r="G436" s="7"/>
      <c r="H436" s="8"/>
      <c r="I436" s="5"/>
      <c r="J436" s="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x14ac:dyDescent="0.45">
      <c r="A437" s="2"/>
      <c r="B437" s="2"/>
      <c r="C437" s="3"/>
      <c r="D437" s="4"/>
      <c r="E437" s="5"/>
      <c r="F437" s="6"/>
      <c r="G437" s="7"/>
      <c r="H437" s="8"/>
      <c r="I437" s="5"/>
      <c r="J437" s="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x14ac:dyDescent="0.45">
      <c r="A438" s="2"/>
      <c r="B438" s="2"/>
      <c r="C438" s="3"/>
      <c r="D438" s="4"/>
      <c r="E438" s="5"/>
      <c r="F438" s="6"/>
      <c r="G438" s="7"/>
      <c r="H438" s="8"/>
      <c r="I438" s="5"/>
      <c r="J438" s="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x14ac:dyDescent="0.45">
      <c r="A439" s="2"/>
      <c r="B439" s="2"/>
      <c r="C439" s="3"/>
      <c r="D439" s="4"/>
      <c r="E439" s="5"/>
      <c r="F439" s="6"/>
      <c r="G439" s="7"/>
      <c r="H439" s="8"/>
      <c r="I439" s="5"/>
      <c r="J439" s="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x14ac:dyDescent="0.45">
      <c r="A440" s="2"/>
      <c r="B440" s="2"/>
      <c r="C440" s="3"/>
      <c r="D440" s="4"/>
      <c r="E440" s="5"/>
      <c r="F440" s="6"/>
      <c r="G440" s="7"/>
      <c r="H440" s="8"/>
      <c r="I440" s="5"/>
      <c r="J440" s="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x14ac:dyDescent="0.45">
      <c r="A441" s="2"/>
      <c r="B441" s="2"/>
      <c r="C441" s="3"/>
      <c r="D441" s="4"/>
      <c r="E441" s="5"/>
      <c r="F441" s="6"/>
      <c r="G441" s="7"/>
      <c r="H441" s="8"/>
      <c r="I441" s="5"/>
      <c r="J441" s="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x14ac:dyDescent="0.45">
      <c r="A442" s="2"/>
      <c r="B442" s="2"/>
      <c r="C442" s="3"/>
      <c r="D442" s="4"/>
      <c r="E442" s="5"/>
      <c r="F442" s="6"/>
      <c r="G442" s="7"/>
      <c r="H442" s="8"/>
      <c r="I442" s="5"/>
      <c r="J442" s="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x14ac:dyDescent="0.45">
      <c r="A443" s="2"/>
      <c r="B443" s="2"/>
      <c r="C443" s="3"/>
      <c r="D443" s="4"/>
      <c r="E443" s="5"/>
      <c r="F443" s="6"/>
      <c r="G443" s="7"/>
      <c r="H443" s="8"/>
      <c r="I443" s="5"/>
      <c r="J443" s="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x14ac:dyDescent="0.45">
      <c r="A444" s="2"/>
      <c r="B444" s="2"/>
      <c r="C444" s="3"/>
      <c r="D444" s="4"/>
      <c r="E444" s="5"/>
      <c r="F444" s="6"/>
      <c r="G444" s="7"/>
      <c r="H444" s="8"/>
      <c r="I444" s="5"/>
      <c r="J444" s="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x14ac:dyDescent="0.45">
      <c r="A445" s="2"/>
      <c r="B445" s="2"/>
      <c r="C445" s="3"/>
      <c r="D445" s="4"/>
      <c r="E445" s="5"/>
      <c r="F445" s="6"/>
      <c r="G445" s="7"/>
      <c r="H445" s="8"/>
      <c r="I445" s="5"/>
      <c r="J445" s="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x14ac:dyDescent="0.45">
      <c r="A446" s="2"/>
      <c r="B446" s="2"/>
      <c r="C446" s="3"/>
      <c r="D446" s="4"/>
      <c r="E446" s="5"/>
      <c r="F446" s="6"/>
      <c r="G446" s="7"/>
      <c r="H446" s="8"/>
      <c r="I446" s="5"/>
      <c r="J446" s="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x14ac:dyDescent="0.45">
      <c r="A447" s="2"/>
      <c r="B447" s="2"/>
      <c r="C447" s="3"/>
      <c r="D447" s="4"/>
      <c r="E447" s="5"/>
      <c r="F447" s="6"/>
      <c r="G447" s="7"/>
      <c r="H447" s="8"/>
      <c r="I447" s="5"/>
      <c r="J447" s="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x14ac:dyDescent="0.45">
      <c r="A448" s="2"/>
      <c r="B448" s="2"/>
      <c r="C448" s="3"/>
      <c r="D448" s="4"/>
      <c r="E448" s="5"/>
      <c r="F448" s="6"/>
      <c r="G448" s="7"/>
      <c r="H448" s="8"/>
      <c r="I448" s="5"/>
      <c r="J448" s="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x14ac:dyDescent="0.45">
      <c r="A449" s="2"/>
      <c r="B449" s="2"/>
      <c r="C449" s="3"/>
      <c r="D449" s="4"/>
      <c r="E449" s="5"/>
      <c r="F449" s="6"/>
      <c r="G449" s="7"/>
      <c r="H449" s="8"/>
      <c r="I449" s="5"/>
      <c r="J449" s="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x14ac:dyDescent="0.45">
      <c r="A450" s="2"/>
      <c r="B450" s="2"/>
      <c r="C450" s="3"/>
      <c r="D450" s="4"/>
      <c r="E450" s="5"/>
      <c r="F450" s="6"/>
      <c r="G450" s="7"/>
      <c r="H450" s="8"/>
      <c r="I450" s="5"/>
      <c r="J450" s="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x14ac:dyDescent="0.45">
      <c r="A451" s="2"/>
      <c r="B451" s="2"/>
      <c r="C451" s="3"/>
      <c r="D451" s="4"/>
      <c r="E451" s="5"/>
      <c r="F451" s="6"/>
      <c r="G451" s="7"/>
      <c r="H451" s="8"/>
      <c r="I451" s="5"/>
      <c r="J451" s="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x14ac:dyDescent="0.45">
      <c r="A452" s="2"/>
      <c r="B452" s="2"/>
      <c r="C452" s="3"/>
      <c r="D452" s="4"/>
      <c r="E452" s="5"/>
      <c r="F452" s="6"/>
      <c r="G452" s="7"/>
      <c r="H452" s="8"/>
      <c r="I452" s="5"/>
      <c r="J452" s="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x14ac:dyDescent="0.45">
      <c r="A453" s="2"/>
      <c r="B453" s="2"/>
      <c r="C453" s="3"/>
      <c r="D453" s="4"/>
      <c r="E453" s="5"/>
      <c r="F453" s="6"/>
      <c r="G453" s="7"/>
      <c r="H453" s="8"/>
      <c r="I453" s="5"/>
      <c r="J453" s="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x14ac:dyDescent="0.45">
      <c r="A454" s="2"/>
      <c r="B454" s="2"/>
      <c r="C454" s="3"/>
      <c r="D454" s="4"/>
      <c r="E454" s="5"/>
      <c r="F454" s="6"/>
      <c r="G454" s="7"/>
      <c r="H454" s="8"/>
      <c r="I454" s="5"/>
      <c r="J454" s="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x14ac:dyDescent="0.45">
      <c r="A455" s="2"/>
      <c r="B455" s="2"/>
      <c r="C455" s="3"/>
      <c r="D455" s="4"/>
      <c r="E455" s="5"/>
      <c r="F455" s="6"/>
      <c r="G455" s="7"/>
      <c r="H455" s="8"/>
      <c r="I455" s="5"/>
      <c r="J455" s="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x14ac:dyDescent="0.45">
      <c r="A456" s="2"/>
      <c r="B456" s="2"/>
      <c r="C456" s="3"/>
      <c r="D456" s="4"/>
      <c r="E456" s="5"/>
      <c r="F456" s="6"/>
      <c r="G456" s="7"/>
      <c r="H456" s="8"/>
      <c r="I456" s="5"/>
      <c r="J456" s="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x14ac:dyDescent="0.45">
      <c r="A457" s="2"/>
      <c r="B457" s="2"/>
      <c r="C457" s="3"/>
      <c r="D457" s="4"/>
      <c r="E457" s="5"/>
      <c r="F457" s="6"/>
      <c r="G457" s="7"/>
      <c r="H457" s="8"/>
      <c r="I457" s="5"/>
      <c r="J457" s="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x14ac:dyDescent="0.45">
      <c r="A458" s="2"/>
      <c r="B458" s="2"/>
      <c r="C458" s="3"/>
      <c r="D458" s="4"/>
      <c r="E458" s="5"/>
      <c r="F458" s="6"/>
      <c r="G458" s="7"/>
      <c r="H458" s="8"/>
      <c r="I458" s="5"/>
      <c r="J458" s="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x14ac:dyDescent="0.45">
      <c r="A459" s="2"/>
      <c r="B459" s="2"/>
      <c r="C459" s="3"/>
      <c r="D459" s="4"/>
      <c r="E459" s="5"/>
      <c r="F459" s="6"/>
      <c r="G459" s="7"/>
      <c r="H459" s="8"/>
      <c r="I459" s="5"/>
      <c r="J459" s="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x14ac:dyDescent="0.45">
      <c r="A460" s="2"/>
      <c r="B460" s="2"/>
      <c r="C460" s="3"/>
      <c r="D460" s="4"/>
      <c r="E460" s="5"/>
      <c r="F460" s="6"/>
      <c r="G460" s="7"/>
      <c r="H460" s="8"/>
      <c r="I460" s="5"/>
      <c r="J460" s="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x14ac:dyDescent="0.45">
      <c r="A461" s="2"/>
      <c r="B461" s="2"/>
      <c r="C461" s="3"/>
      <c r="D461" s="4"/>
      <c r="E461" s="5"/>
      <c r="F461" s="6"/>
      <c r="G461" s="7"/>
      <c r="H461" s="8"/>
      <c r="I461" s="5"/>
      <c r="J461" s="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x14ac:dyDescent="0.45">
      <c r="A462" s="2"/>
      <c r="B462" s="2"/>
      <c r="C462" s="3"/>
      <c r="D462" s="4"/>
      <c r="E462" s="5"/>
      <c r="F462" s="6"/>
      <c r="G462" s="7"/>
      <c r="H462" s="8"/>
      <c r="I462" s="5"/>
      <c r="J462" s="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x14ac:dyDescent="0.45">
      <c r="A463" s="2"/>
      <c r="B463" s="2"/>
      <c r="C463" s="3"/>
      <c r="D463" s="4"/>
      <c r="E463" s="5"/>
      <c r="F463" s="6"/>
      <c r="G463" s="7"/>
      <c r="H463" s="8"/>
      <c r="I463" s="5"/>
      <c r="J463" s="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x14ac:dyDescent="0.45">
      <c r="A464" s="2"/>
      <c r="B464" s="2"/>
      <c r="C464" s="3"/>
      <c r="D464" s="4"/>
      <c r="E464" s="5"/>
      <c r="F464" s="6"/>
      <c r="G464" s="7"/>
      <c r="H464" s="8"/>
      <c r="I464" s="5"/>
      <c r="J464" s="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x14ac:dyDescent="0.45">
      <c r="A465" s="2"/>
      <c r="B465" s="2"/>
      <c r="C465" s="3"/>
      <c r="D465" s="4"/>
      <c r="E465" s="5"/>
      <c r="F465" s="6"/>
      <c r="G465" s="7"/>
      <c r="H465" s="8"/>
      <c r="I465" s="5"/>
      <c r="J465" s="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x14ac:dyDescent="0.45">
      <c r="A466" s="2"/>
      <c r="B466" s="2"/>
      <c r="C466" s="3"/>
      <c r="D466" s="4"/>
      <c r="E466" s="5"/>
      <c r="F466" s="6"/>
      <c r="G466" s="7"/>
      <c r="H466" s="8"/>
      <c r="I466" s="5"/>
      <c r="J466" s="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x14ac:dyDescent="0.45">
      <c r="A467" s="2"/>
      <c r="B467" s="2"/>
      <c r="C467" s="3"/>
      <c r="D467" s="4"/>
      <c r="E467" s="5"/>
      <c r="F467" s="6"/>
      <c r="G467" s="7"/>
      <c r="H467" s="8"/>
      <c r="I467" s="5"/>
      <c r="J467" s="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x14ac:dyDescent="0.45">
      <c r="A468" s="2"/>
      <c r="B468" s="2"/>
      <c r="C468" s="3"/>
      <c r="D468" s="4"/>
      <c r="E468" s="5"/>
      <c r="F468" s="6"/>
      <c r="G468" s="7"/>
      <c r="H468" s="8"/>
      <c r="I468" s="5"/>
      <c r="J468" s="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x14ac:dyDescent="0.45">
      <c r="A469" s="2"/>
      <c r="B469" s="2"/>
      <c r="C469" s="3"/>
      <c r="D469" s="4"/>
      <c r="E469" s="5"/>
      <c r="F469" s="6"/>
      <c r="G469" s="7"/>
      <c r="H469" s="8"/>
      <c r="I469" s="5"/>
      <c r="J469" s="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x14ac:dyDescent="0.45">
      <c r="A470" s="2"/>
      <c r="B470" s="2"/>
      <c r="C470" s="3"/>
      <c r="D470" s="4"/>
      <c r="E470" s="5"/>
      <c r="F470" s="6"/>
      <c r="G470" s="7"/>
      <c r="H470" s="8"/>
      <c r="I470" s="5"/>
      <c r="J470" s="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x14ac:dyDescent="0.45">
      <c r="A471" s="2"/>
      <c r="B471" s="2"/>
      <c r="C471" s="3"/>
      <c r="D471" s="4"/>
      <c r="E471" s="5"/>
      <c r="F471" s="6"/>
      <c r="G471" s="7"/>
      <c r="H471" s="8"/>
      <c r="I471" s="5"/>
      <c r="J471" s="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x14ac:dyDescent="0.45">
      <c r="A472" s="2"/>
      <c r="B472" s="2"/>
      <c r="C472" s="3"/>
      <c r="D472" s="4"/>
      <c r="E472" s="5"/>
      <c r="F472" s="6"/>
      <c r="G472" s="7"/>
      <c r="H472" s="8"/>
      <c r="I472" s="5"/>
      <c r="J472" s="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x14ac:dyDescent="0.45">
      <c r="A473" s="2"/>
      <c r="B473" s="2"/>
      <c r="C473" s="3"/>
      <c r="D473" s="4"/>
      <c r="E473" s="5"/>
      <c r="F473" s="6"/>
      <c r="G473" s="7"/>
      <c r="H473" s="8"/>
      <c r="I473" s="5"/>
      <c r="J473" s="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x14ac:dyDescent="0.45">
      <c r="A474" s="2"/>
      <c r="B474" s="2"/>
      <c r="C474" s="3"/>
      <c r="D474" s="4"/>
      <c r="E474" s="5"/>
      <c r="F474" s="6"/>
      <c r="G474" s="7"/>
      <c r="H474" s="8"/>
      <c r="I474" s="5"/>
      <c r="J474" s="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x14ac:dyDescent="0.45">
      <c r="A475" s="2"/>
      <c r="B475" s="2"/>
      <c r="C475" s="3"/>
      <c r="D475" s="4"/>
      <c r="E475" s="5"/>
      <c r="F475" s="6"/>
      <c r="G475" s="7"/>
      <c r="H475" s="8"/>
      <c r="I475" s="5"/>
      <c r="J475" s="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x14ac:dyDescent="0.45">
      <c r="A476" s="2"/>
      <c r="B476" s="2"/>
      <c r="C476" s="3"/>
      <c r="D476" s="4"/>
      <c r="E476" s="5"/>
      <c r="F476" s="6"/>
      <c r="G476" s="7"/>
      <c r="H476" s="8"/>
      <c r="I476" s="5"/>
      <c r="J476" s="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x14ac:dyDescent="0.45">
      <c r="A477" s="2"/>
      <c r="B477" s="2"/>
      <c r="C477" s="3"/>
      <c r="D477" s="4"/>
      <c r="E477" s="5"/>
      <c r="F477" s="6"/>
      <c r="G477" s="7"/>
      <c r="H477" s="8"/>
      <c r="I477" s="5"/>
      <c r="J477" s="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x14ac:dyDescent="0.45">
      <c r="A478" s="2"/>
      <c r="B478" s="2"/>
      <c r="C478" s="3"/>
      <c r="D478" s="4"/>
      <c r="E478" s="5"/>
      <c r="F478" s="6"/>
      <c r="G478" s="7"/>
      <c r="H478" s="8"/>
      <c r="I478" s="5"/>
      <c r="J478" s="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x14ac:dyDescent="0.45">
      <c r="A479" s="2"/>
      <c r="B479" s="2"/>
      <c r="C479" s="3"/>
      <c r="D479" s="4"/>
      <c r="E479" s="5"/>
      <c r="F479" s="6"/>
      <c r="G479" s="7"/>
      <c r="H479" s="8"/>
      <c r="I479" s="5"/>
      <c r="J479" s="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x14ac:dyDescent="0.45">
      <c r="A480" s="2"/>
      <c r="B480" s="2"/>
      <c r="C480" s="3"/>
      <c r="D480" s="4"/>
      <c r="E480" s="5"/>
      <c r="F480" s="6"/>
      <c r="G480" s="7"/>
      <c r="H480" s="8"/>
      <c r="I480" s="5"/>
      <c r="J480" s="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x14ac:dyDescent="0.45">
      <c r="A481" s="2"/>
      <c r="B481" s="2"/>
      <c r="C481" s="3"/>
      <c r="D481" s="4"/>
      <c r="E481" s="5"/>
      <c r="F481" s="6"/>
      <c r="G481" s="7"/>
      <c r="H481" s="8"/>
      <c r="I481" s="5"/>
      <c r="J481" s="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x14ac:dyDescent="0.45">
      <c r="A482" s="2"/>
      <c r="B482" s="2"/>
      <c r="C482" s="3"/>
      <c r="D482" s="4"/>
      <c r="E482" s="5"/>
      <c r="F482" s="6"/>
      <c r="G482" s="7"/>
      <c r="H482" s="8"/>
      <c r="I482" s="5"/>
      <c r="J482" s="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x14ac:dyDescent="0.45">
      <c r="A483" s="2"/>
      <c r="B483" s="2"/>
      <c r="C483" s="3"/>
      <c r="D483" s="4"/>
      <c r="E483" s="5"/>
      <c r="F483" s="6"/>
      <c r="G483" s="7"/>
      <c r="H483" s="8"/>
      <c r="I483" s="5"/>
      <c r="J483" s="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x14ac:dyDescent="0.45">
      <c r="A484" s="2"/>
      <c r="B484" s="2"/>
      <c r="C484" s="3"/>
      <c r="D484" s="4"/>
      <c r="E484" s="5"/>
      <c r="F484" s="6"/>
      <c r="G484" s="7"/>
      <c r="H484" s="8"/>
      <c r="I484" s="5"/>
      <c r="J484" s="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x14ac:dyDescent="0.45">
      <c r="A485" s="2"/>
      <c r="B485" s="2"/>
      <c r="C485" s="3"/>
      <c r="D485" s="4"/>
      <c r="E485" s="5"/>
      <c r="F485" s="6"/>
      <c r="G485" s="7"/>
      <c r="H485" s="8"/>
      <c r="I485" s="5"/>
      <c r="J485" s="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x14ac:dyDescent="0.45">
      <c r="A486" s="2"/>
      <c r="B486" s="2"/>
      <c r="C486" s="3"/>
      <c r="D486" s="4"/>
      <c r="E486" s="5"/>
      <c r="F486" s="6"/>
      <c r="G486" s="7"/>
      <c r="H486" s="8"/>
      <c r="I486" s="5"/>
      <c r="J486" s="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x14ac:dyDescent="0.45">
      <c r="A487" s="2"/>
      <c r="B487" s="2"/>
      <c r="C487" s="3"/>
      <c r="D487" s="4"/>
      <c r="E487" s="5"/>
      <c r="F487" s="6"/>
      <c r="G487" s="7"/>
      <c r="H487" s="8"/>
      <c r="I487" s="5"/>
      <c r="J487" s="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x14ac:dyDescent="0.45">
      <c r="A488" s="2"/>
      <c r="B488" s="2"/>
      <c r="C488" s="3"/>
      <c r="D488" s="4"/>
      <c r="E488" s="5"/>
      <c r="F488" s="6"/>
      <c r="G488" s="7"/>
      <c r="H488" s="8"/>
      <c r="I488" s="5"/>
      <c r="J488" s="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x14ac:dyDescent="0.45">
      <c r="A489" s="2"/>
      <c r="B489" s="2"/>
      <c r="C489" s="3"/>
      <c r="D489" s="4"/>
      <c r="E489" s="5"/>
      <c r="F489" s="6"/>
      <c r="G489" s="7"/>
      <c r="H489" s="8"/>
      <c r="I489" s="5"/>
      <c r="J489" s="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x14ac:dyDescent="0.45">
      <c r="A490" s="2"/>
      <c r="B490" s="2"/>
      <c r="C490" s="3"/>
      <c r="D490" s="4"/>
      <c r="E490" s="5"/>
      <c r="F490" s="6"/>
      <c r="G490" s="7"/>
      <c r="H490" s="8"/>
      <c r="I490" s="5"/>
      <c r="J490" s="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x14ac:dyDescent="0.45">
      <c r="A491" s="2"/>
      <c r="B491" s="2"/>
      <c r="C491" s="3"/>
      <c r="D491" s="4"/>
      <c r="E491" s="5"/>
      <c r="F491" s="6"/>
      <c r="G491" s="7"/>
      <c r="H491" s="8"/>
      <c r="I491" s="5"/>
      <c r="J491" s="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x14ac:dyDescent="0.45">
      <c r="A492" s="2"/>
      <c r="B492" s="2"/>
      <c r="C492" s="3"/>
      <c r="D492" s="4"/>
      <c r="E492" s="5"/>
      <c r="F492" s="6"/>
      <c r="G492" s="7"/>
      <c r="H492" s="8"/>
      <c r="I492" s="5"/>
      <c r="J492" s="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x14ac:dyDescent="0.45">
      <c r="A493" s="2"/>
      <c r="B493" s="2"/>
      <c r="C493" s="3"/>
      <c r="D493" s="4"/>
      <c r="E493" s="5"/>
      <c r="F493" s="6"/>
      <c r="G493" s="7"/>
      <c r="H493" s="8"/>
      <c r="I493" s="5"/>
      <c r="J493" s="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x14ac:dyDescent="0.45">
      <c r="A494" s="2"/>
      <c r="B494" s="2"/>
      <c r="C494" s="3"/>
      <c r="D494" s="4"/>
      <c r="E494" s="5"/>
      <c r="F494" s="6"/>
      <c r="G494" s="7"/>
      <c r="H494" s="8"/>
      <c r="I494" s="5"/>
      <c r="J494" s="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x14ac:dyDescent="0.45">
      <c r="A495" s="2"/>
      <c r="B495" s="2"/>
      <c r="C495" s="3"/>
      <c r="D495" s="4"/>
      <c r="E495" s="5"/>
      <c r="F495" s="6"/>
      <c r="G495" s="7"/>
      <c r="H495" s="8"/>
      <c r="I495" s="5"/>
      <c r="J495" s="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x14ac:dyDescent="0.45">
      <c r="A496" s="2"/>
      <c r="B496" s="2"/>
      <c r="C496" s="3"/>
      <c r="D496" s="4"/>
      <c r="E496" s="5"/>
      <c r="F496" s="6"/>
      <c r="G496" s="7"/>
      <c r="H496" s="8"/>
      <c r="I496" s="5"/>
      <c r="J496" s="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x14ac:dyDescent="0.45">
      <c r="A497" s="2"/>
      <c r="B497" s="2"/>
      <c r="C497" s="3"/>
      <c r="D497" s="4"/>
      <c r="E497" s="5"/>
      <c r="F497" s="6"/>
      <c r="G497" s="7"/>
      <c r="H497" s="8"/>
      <c r="I497" s="5"/>
      <c r="J497" s="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x14ac:dyDescent="0.45">
      <c r="A498" s="2"/>
      <c r="B498" s="2"/>
      <c r="C498" s="3"/>
      <c r="D498" s="4"/>
      <c r="E498" s="5"/>
      <c r="F498" s="6"/>
      <c r="G498" s="7"/>
      <c r="H498" s="8"/>
      <c r="I498" s="5"/>
      <c r="J498" s="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x14ac:dyDescent="0.45">
      <c r="A499" s="2"/>
      <c r="B499" s="2"/>
      <c r="C499" s="3"/>
      <c r="D499" s="4"/>
      <c r="E499" s="5"/>
      <c r="F499" s="6"/>
      <c r="G499" s="7"/>
      <c r="H499" s="8"/>
      <c r="I499" s="5"/>
      <c r="J499" s="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x14ac:dyDescent="0.45">
      <c r="A500" s="2"/>
      <c r="B500" s="2"/>
      <c r="C500" s="3"/>
      <c r="D500" s="4"/>
      <c r="E500" s="5"/>
      <c r="F500" s="6"/>
      <c r="G500" s="7"/>
      <c r="H500" s="8"/>
      <c r="I500" s="5"/>
      <c r="J500" s="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x14ac:dyDescent="0.45">
      <c r="A501" s="2"/>
      <c r="B501" s="2"/>
      <c r="C501" s="3"/>
      <c r="D501" s="4"/>
      <c r="E501" s="5"/>
      <c r="F501" s="6"/>
      <c r="G501" s="7"/>
      <c r="H501" s="8"/>
      <c r="I501" s="5"/>
      <c r="J501" s="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x14ac:dyDescent="0.45">
      <c r="A502" s="2"/>
      <c r="B502" s="2"/>
      <c r="C502" s="3"/>
      <c r="D502" s="4"/>
      <c r="E502" s="5"/>
      <c r="F502" s="6"/>
      <c r="G502" s="7"/>
      <c r="H502" s="8"/>
      <c r="I502" s="5"/>
      <c r="J502" s="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x14ac:dyDescent="0.45">
      <c r="A503" s="2"/>
      <c r="B503" s="2"/>
      <c r="C503" s="3"/>
      <c r="D503" s="4"/>
      <c r="E503" s="5"/>
      <c r="F503" s="6"/>
      <c r="G503" s="7"/>
      <c r="H503" s="8"/>
      <c r="I503" s="5"/>
      <c r="J503" s="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x14ac:dyDescent="0.45">
      <c r="A504" s="2"/>
      <c r="B504" s="2"/>
      <c r="C504" s="3"/>
      <c r="D504" s="4"/>
      <c r="E504" s="5"/>
      <c r="F504" s="6"/>
      <c r="G504" s="7"/>
      <c r="H504" s="8"/>
      <c r="I504" s="5"/>
      <c r="J504" s="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x14ac:dyDescent="0.45">
      <c r="A505" s="2"/>
      <c r="B505" s="2"/>
      <c r="C505" s="3"/>
      <c r="D505" s="4"/>
      <c r="E505" s="5"/>
      <c r="F505" s="6"/>
      <c r="G505" s="7"/>
      <c r="H505" s="8"/>
      <c r="I505" s="5"/>
      <c r="J505" s="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x14ac:dyDescent="0.45">
      <c r="A506" s="2"/>
      <c r="B506" s="2"/>
      <c r="C506" s="3"/>
      <c r="D506" s="4"/>
      <c r="E506" s="5"/>
      <c r="F506" s="6"/>
      <c r="G506" s="7"/>
      <c r="H506" s="8"/>
      <c r="I506" s="5"/>
      <c r="J506" s="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x14ac:dyDescent="0.45">
      <c r="A507" s="2"/>
      <c r="B507" s="2"/>
      <c r="C507" s="3"/>
      <c r="D507" s="4"/>
      <c r="E507" s="5"/>
      <c r="F507" s="6"/>
      <c r="G507" s="7"/>
      <c r="H507" s="8"/>
      <c r="I507" s="5"/>
      <c r="J507" s="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x14ac:dyDescent="0.45">
      <c r="A508" s="2"/>
      <c r="B508" s="2"/>
      <c r="C508" s="3"/>
      <c r="D508" s="4"/>
      <c r="E508" s="5"/>
      <c r="F508" s="6"/>
      <c r="G508" s="7"/>
      <c r="H508" s="8"/>
      <c r="I508" s="5"/>
      <c r="J508" s="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x14ac:dyDescent="0.45">
      <c r="A509" s="2"/>
      <c r="B509" s="2"/>
      <c r="C509" s="3"/>
      <c r="D509" s="4"/>
      <c r="E509" s="5"/>
      <c r="F509" s="6"/>
      <c r="G509" s="7"/>
      <c r="H509" s="8"/>
      <c r="I509" s="5"/>
      <c r="J509" s="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x14ac:dyDescent="0.45">
      <c r="A510" s="2"/>
      <c r="B510" s="2"/>
      <c r="C510" s="3"/>
      <c r="D510" s="4"/>
      <c r="E510" s="5"/>
      <c r="F510" s="6"/>
      <c r="G510" s="7"/>
      <c r="H510" s="8"/>
      <c r="I510" s="5"/>
      <c r="J510" s="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x14ac:dyDescent="0.45">
      <c r="A511" s="2"/>
      <c r="B511" s="2"/>
      <c r="C511" s="3"/>
      <c r="D511" s="4"/>
      <c r="E511" s="5"/>
      <c r="F511" s="6"/>
      <c r="G511" s="7"/>
      <c r="H511" s="8"/>
      <c r="I511" s="5"/>
      <c r="J511" s="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x14ac:dyDescent="0.45">
      <c r="A512" s="2"/>
      <c r="B512" s="2"/>
      <c r="C512" s="3"/>
      <c r="D512" s="4"/>
      <c r="E512" s="5"/>
      <c r="F512" s="6"/>
      <c r="G512" s="7"/>
      <c r="H512" s="8"/>
      <c r="I512" s="5"/>
      <c r="J512" s="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x14ac:dyDescent="0.45">
      <c r="A513" s="2"/>
      <c r="B513" s="2"/>
      <c r="C513" s="3"/>
      <c r="D513" s="4"/>
      <c r="E513" s="5"/>
      <c r="F513" s="6"/>
      <c r="G513" s="7"/>
      <c r="H513" s="8"/>
      <c r="I513" s="5"/>
      <c r="J513" s="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x14ac:dyDescent="0.45">
      <c r="A514" s="2"/>
      <c r="B514" s="2"/>
      <c r="C514" s="3"/>
      <c r="D514" s="4"/>
      <c r="E514" s="5"/>
      <c r="F514" s="6"/>
      <c r="G514" s="7"/>
      <c r="H514" s="8"/>
      <c r="I514" s="5"/>
      <c r="J514" s="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x14ac:dyDescent="0.45">
      <c r="A515" s="2"/>
      <c r="B515" s="2"/>
      <c r="C515" s="3"/>
      <c r="D515" s="4"/>
      <c r="E515" s="5"/>
      <c r="F515" s="6"/>
      <c r="G515" s="7"/>
      <c r="H515" s="8"/>
      <c r="I515" s="5"/>
      <c r="J515" s="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x14ac:dyDescent="0.45">
      <c r="A516" s="2"/>
      <c r="B516" s="2"/>
      <c r="C516" s="3"/>
      <c r="D516" s="4"/>
      <c r="E516" s="5"/>
      <c r="F516" s="6"/>
      <c r="G516" s="7"/>
      <c r="H516" s="8"/>
      <c r="I516" s="5"/>
      <c r="J516" s="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x14ac:dyDescent="0.45">
      <c r="A517" s="2"/>
      <c r="B517" s="2"/>
      <c r="C517" s="3"/>
      <c r="D517" s="4"/>
      <c r="E517" s="5"/>
      <c r="F517" s="6"/>
      <c r="G517" s="7"/>
      <c r="H517" s="8"/>
      <c r="I517" s="5"/>
      <c r="J517" s="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x14ac:dyDescent="0.45">
      <c r="A518" s="2"/>
      <c r="B518" s="2"/>
      <c r="C518" s="3"/>
      <c r="D518" s="4"/>
      <c r="E518" s="5"/>
      <c r="F518" s="6"/>
      <c r="G518" s="7"/>
      <c r="H518" s="8"/>
      <c r="I518" s="5"/>
      <c r="J518" s="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x14ac:dyDescent="0.45">
      <c r="A519" s="2"/>
      <c r="B519" s="2"/>
      <c r="C519" s="3"/>
      <c r="D519" s="4"/>
      <c r="E519" s="5"/>
      <c r="F519" s="6"/>
      <c r="G519" s="7"/>
      <c r="H519" s="8"/>
      <c r="I519" s="5"/>
      <c r="J519" s="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x14ac:dyDescent="0.45">
      <c r="A520" s="2"/>
      <c r="B520" s="2"/>
      <c r="C520" s="3"/>
      <c r="D520" s="4"/>
      <c r="E520" s="5"/>
      <c r="F520" s="6"/>
      <c r="G520" s="7"/>
      <c r="H520" s="8"/>
      <c r="I520" s="5"/>
      <c r="J520" s="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x14ac:dyDescent="0.45">
      <c r="A521" s="2"/>
      <c r="B521" s="2"/>
      <c r="C521" s="3"/>
      <c r="D521" s="4"/>
      <c r="E521" s="5"/>
      <c r="F521" s="6"/>
      <c r="G521" s="7"/>
      <c r="H521" s="8"/>
      <c r="I521" s="5"/>
      <c r="J521" s="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x14ac:dyDescent="0.45">
      <c r="A522" s="2"/>
      <c r="B522" s="2"/>
      <c r="C522" s="3"/>
      <c r="D522" s="4"/>
      <c r="E522" s="5"/>
      <c r="F522" s="6"/>
      <c r="G522" s="7"/>
      <c r="H522" s="8"/>
      <c r="I522" s="5"/>
      <c r="J522" s="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x14ac:dyDescent="0.45">
      <c r="A523" s="2"/>
      <c r="B523" s="2"/>
      <c r="C523" s="3"/>
      <c r="D523" s="4"/>
      <c r="E523" s="5"/>
      <c r="F523" s="6"/>
      <c r="G523" s="7"/>
      <c r="H523" s="8"/>
      <c r="I523" s="5"/>
      <c r="J523" s="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x14ac:dyDescent="0.45">
      <c r="A524" s="2"/>
      <c r="B524" s="2"/>
      <c r="C524" s="3"/>
      <c r="D524" s="4"/>
      <c r="E524" s="5"/>
      <c r="F524" s="6"/>
      <c r="G524" s="7"/>
      <c r="H524" s="8"/>
      <c r="I524" s="5"/>
      <c r="J524" s="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x14ac:dyDescent="0.45">
      <c r="A525" s="2"/>
      <c r="B525" s="2"/>
      <c r="C525" s="3"/>
      <c r="D525" s="4"/>
      <c r="E525" s="5"/>
      <c r="F525" s="6"/>
      <c r="G525" s="7"/>
      <c r="H525" s="8"/>
      <c r="I525" s="5"/>
      <c r="J525" s="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x14ac:dyDescent="0.45">
      <c r="A526" s="2"/>
      <c r="B526" s="2"/>
      <c r="C526" s="3"/>
      <c r="D526" s="4"/>
      <c r="E526" s="5"/>
      <c r="F526" s="6"/>
      <c r="G526" s="7"/>
      <c r="H526" s="8"/>
      <c r="I526" s="5"/>
      <c r="J526" s="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x14ac:dyDescent="0.45">
      <c r="A527" s="2"/>
      <c r="B527" s="2"/>
      <c r="C527" s="3"/>
      <c r="D527" s="4"/>
      <c r="E527" s="5"/>
      <c r="F527" s="6"/>
      <c r="G527" s="7"/>
      <c r="H527" s="8"/>
      <c r="I527" s="5"/>
      <c r="J527" s="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x14ac:dyDescent="0.45">
      <c r="A528" s="2"/>
      <c r="B528" s="2"/>
      <c r="C528" s="3"/>
      <c r="D528" s="4"/>
      <c r="E528" s="5"/>
      <c r="F528" s="6"/>
      <c r="G528" s="7"/>
      <c r="H528" s="8"/>
      <c r="I528" s="5"/>
      <c r="J528" s="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x14ac:dyDescent="0.45">
      <c r="A529" s="2"/>
      <c r="B529" s="2"/>
      <c r="C529" s="3"/>
      <c r="D529" s="4"/>
      <c r="E529" s="5"/>
      <c r="F529" s="6"/>
      <c r="G529" s="7"/>
      <c r="H529" s="8"/>
      <c r="I529" s="5"/>
      <c r="J529" s="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x14ac:dyDescent="0.45">
      <c r="A530" s="2"/>
      <c r="B530" s="2"/>
      <c r="C530" s="3"/>
      <c r="D530" s="4"/>
      <c r="E530" s="5"/>
      <c r="F530" s="6"/>
      <c r="G530" s="7"/>
      <c r="H530" s="8"/>
      <c r="I530" s="5"/>
      <c r="J530" s="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x14ac:dyDescent="0.45">
      <c r="A531" s="2"/>
      <c r="B531" s="2"/>
      <c r="C531" s="3"/>
      <c r="D531" s="4"/>
      <c r="E531" s="5"/>
      <c r="F531" s="6"/>
      <c r="G531" s="7"/>
      <c r="H531" s="8"/>
      <c r="I531" s="5"/>
      <c r="J531" s="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x14ac:dyDescent="0.45">
      <c r="A532" s="2"/>
      <c r="B532" s="2"/>
      <c r="C532" s="3"/>
      <c r="D532" s="4"/>
      <c r="E532" s="5"/>
      <c r="F532" s="6"/>
      <c r="G532" s="7"/>
      <c r="H532" s="8"/>
      <c r="I532" s="5"/>
      <c r="J532" s="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x14ac:dyDescent="0.45">
      <c r="A533" s="2"/>
      <c r="B533" s="2"/>
      <c r="C533" s="3"/>
      <c r="D533" s="4"/>
      <c r="E533" s="5"/>
      <c r="F533" s="6"/>
      <c r="G533" s="7"/>
      <c r="H533" s="8"/>
      <c r="I533" s="5"/>
      <c r="J533" s="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x14ac:dyDescent="0.45">
      <c r="A534" s="2"/>
      <c r="B534" s="2"/>
      <c r="C534" s="3"/>
      <c r="D534" s="4"/>
      <c r="E534" s="5"/>
      <c r="F534" s="6"/>
      <c r="G534" s="7"/>
      <c r="H534" s="8"/>
      <c r="I534" s="5"/>
      <c r="J534" s="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x14ac:dyDescent="0.45">
      <c r="A535" s="2"/>
      <c r="B535" s="2"/>
      <c r="C535" s="3"/>
      <c r="D535" s="4"/>
      <c r="E535" s="5"/>
      <c r="F535" s="6"/>
      <c r="G535" s="7"/>
      <c r="H535" s="8"/>
      <c r="I535" s="5"/>
      <c r="J535" s="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x14ac:dyDescent="0.45">
      <c r="A536" s="2"/>
      <c r="B536" s="2"/>
      <c r="C536" s="3"/>
      <c r="D536" s="4"/>
      <c r="E536" s="5"/>
      <c r="F536" s="6"/>
      <c r="G536" s="7"/>
      <c r="H536" s="8"/>
      <c r="I536" s="5"/>
      <c r="J536" s="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x14ac:dyDescent="0.45">
      <c r="A537" s="2"/>
      <c r="B537" s="2"/>
      <c r="C537" s="3"/>
      <c r="D537" s="4"/>
      <c r="E537" s="5"/>
      <c r="F537" s="6"/>
      <c r="G537" s="7"/>
      <c r="H537" s="8"/>
      <c r="I537" s="5"/>
      <c r="J537" s="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x14ac:dyDescent="0.45">
      <c r="A538" s="2"/>
      <c r="B538" s="2"/>
      <c r="C538" s="3"/>
      <c r="D538" s="4"/>
      <c r="E538" s="5"/>
      <c r="F538" s="6"/>
      <c r="G538" s="7"/>
      <c r="H538" s="8"/>
      <c r="I538" s="5"/>
      <c r="J538" s="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x14ac:dyDescent="0.45">
      <c r="A539" s="2"/>
      <c r="B539" s="2"/>
      <c r="C539" s="3"/>
      <c r="D539" s="4"/>
      <c r="E539" s="5"/>
      <c r="F539" s="6"/>
      <c r="G539" s="7"/>
      <c r="H539" s="8"/>
      <c r="I539" s="5"/>
      <c r="J539" s="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x14ac:dyDescent="0.45">
      <c r="A540" s="2"/>
      <c r="B540" s="2"/>
      <c r="C540" s="3"/>
      <c r="D540" s="4"/>
      <c r="E540" s="5"/>
      <c r="F540" s="6"/>
      <c r="G540" s="7"/>
      <c r="H540" s="8"/>
      <c r="I540" s="5"/>
      <c r="J540" s="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x14ac:dyDescent="0.45">
      <c r="A541" s="2"/>
      <c r="B541" s="2"/>
      <c r="C541" s="3"/>
      <c r="D541" s="4"/>
      <c r="E541" s="5"/>
      <c r="F541" s="6"/>
      <c r="G541" s="7"/>
      <c r="H541" s="8"/>
      <c r="I541" s="5"/>
      <c r="J541" s="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x14ac:dyDescent="0.45">
      <c r="A542" s="2"/>
      <c r="B542" s="2"/>
      <c r="C542" s="3"/>
      <c r="D542" s="4"/>
      <c r="E542" s="5"/>
      <c r="F542" s="6"/>
      <c r="G542" s="7"/>
      <c r="H542" s="8"/>
      <c r="I542" s="5"/>
      <c r="J542" s="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x14ac:dyDescent="0.45">
      <c r="A543" s="2"/>
      <c r="B543" s="2"/>
      <c r="C543" s="3"/>
      <c r="D543" s="4"/>
      <c r="E543" s="5"/>
      <c r="F543" s="6"/>
      <c r="G543" s="7"/>
      <c r="H543" s="8"/>
      <c r="I543" s="5"/>
      <c r="J543" s="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x14ac:dyDescent="0.45">
      <c r="A544" s="2"/>
      <c r="B544" s="2"/>
      <c r="C544" s="3"/>
      <c r="D544" s="4"/>
      <c r="E544" s="5"/>
      <c r="F544" s="6"/>
      <c r="G544" s="7"/>
      <c r="H544" s="8"/>
      <c r="I544" s="5"/>
      <c r="J544" s="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x14ac:dyDescent="0.45">
      <c r="A545" s="2"/>
      <c r="B545" s="2"/>
      <c r="C545" s="3"/>
      <c r="D545" s="4"/>
      <c r="E545" s="5"/>
      <c r="F545" s="6"/>
      <c r="G545" s="7"/>
      <c r="H545" s="8"/>
      <c r="I545" s="5"/>
      <c r="J545" s="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x14ac:dyDescent="0.45">
      <c r="A546" s="2"/>
      <c r="B546" s="2"/>
      <c r="C546" s="3"/>
      <c r="D546" s="4"/>
      <c r="E546" s="5"/>
      <c r="F546" s="6"/>
      <c r="G546" s="7"/>
      <c r="H546" s="8"/>
      <c r="I546" s="5"/>
      <c r="J546" s="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x14ac:dyDescent="0.45">
      <c r="A547" s="2"/>
      <c r="B547" s="2"/>
      <c r="C547" s="3"/>
      <c r="D547" s="4"/>
      <c r="E547" s="5"/>
      <c r="F547" s="6"/>
      <c r="G547" s="7"/>
      <c r="H547" s="8"/>
      <c r="I547" s="5"/>
      <c r="J547" s="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x14ac:dyDescent="0.45">
      <c r="A548" s="2"/>
      <c r="B548" s="2"/>
      <c r="C548" s="3"/>
      <c r="D548" s="4"/>
      <c r="E548" s="5"/>
      <c r="F548" s="6"/>
      <c r="G548" s="7"/>
      <c r="H548" s="8"/>
      <c r="I548" s="5"/>
      <c r="J548" s="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x14ac:dyDescent="0.45">
      <c r="A549" s="2"/>
      <c r="B549" s="2"/>
      <c r="C549" s="3"/>
      <c r="D549" s="4"/>
      <c r="E549" s="5"/>
      <c r="F549" s="6"/>
      <c r="G549" s="7"/>
      <c r="H549" s="8"/>
      <c r="I549" s="5"/>
      <c r="J549" s="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x14ac:dyDescent="0.45">
      <c r="A550" s="2"/>
      <c r="B550" s="2"/>
      <c r="C550" s="3"/>
      <c r="D550" s="4"/>
      <c r="E550" s="5"/>
      <c r="F550" s="6"/>
      <c r="G550" s="7"/>
      <c r="H550" s="8"/>
      <c r="I550" s="5"/>
      <c r="J550" s="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x14ac:dyDescent="0.45">
      <c r="A551" s="2"/>
      <c r="B551" s="2"/>
      <c r="C551" s="3"/>
      <c r="D551" s="4"/>
      <c r="E551" s="5"/>
      <c r="F551" s="6"/>
      <c r="G551" s="7"/>
      <c r="H551" s="8"/>
      <c r="I551" s="5"/>
      <c r="J551" s="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x14ac:dyDescent="0.45">
      <c r="A552" s="2"/>
      <c r="B552" s="2"/>
      <c r="C552" s="3"/>
      <c r="D552" s="4"/>
      <c r="E552" s="5"/>
      <c r="F552" s="6"/>
      <c r="G552" s="7"/>
      <c r="H552" s="8"/>
      <c r="I552" s="5"/>
      <c r="J552" s="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x14ac:dyDescent="0.45">
      <c r="A553" s="2"/>
      <c r="B553" s="2"/>
      <c r="C553" s="3"/>
      <c r="D553" s="4"/>
      <c r="E553" s="5"/>
      <c r="F553" s="6"/>
      <c r="G553" s="7"/>
      <c r="H553" s="8"/>
      <c r="I553" s="5"/>
      <c r="J553" s="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x14ac:dyDescent="0.45">
      <c r="A554" s="2"/>
      <c r="B554" s="2"/>
      <c r="C554" s="3"/>
      <c r="D554" s="4"/>
      <c r="E554" s="5"/>
      <c r="F554" s="6"/>
      <c r="G554" s="7"/>
      <c r="H554" s="8"/>
      <c r="I554" s="5"/>
      <c r="J554" s="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x14ac:dyDescent="0.45">
      <c r="A555" s="2"/>
      <c r="B555" s="2"/>
      <c r="C555" s="3"/>
      <c r="D555" s="4"/>
      <c r="E555" s="5"/>
      <c r="F555" s="6"/>
      <c r="G555" s="7"/>
      <c r="H555" s="8"/>
      <c r="I555" s="5"/>
      <c r="J555" s="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x14ac:dyDescent="0.45">
      <c r="A556" s="2"/>
      <c r="B556" s="2"/>
      <c r="C556" s="3"/>
      <c r="D556" s="4"/>
      <c r="E556" s="5"/>
      <c r="F556" s="6"/>
      <c r="G556" s="7"/>
      <c r="H556" s="8"/>
      <c r="I556" s="5"/>
      <c r="J556" s="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x14ac:dyDescent="0.45">
      <c r="A557" s="2"/>
      <c r="B557" s="2"/>
      <c r="C557" s="3"/>
      <c r="D557" s="4"/>
      <c r="E557" s="5"/>
      <c r="F557" s="6"/>
      <c r="G557" s="7"/>
      <c r="H557" s="8"/>
      <c r="I557" s="5"/>
      <c r="J557" s="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x14ac:dyDescent="0.45">
      <c r="A558" s="2"/>
      <c r="B558" s="2"/>
      <c r="C558" s="3"/>
      <c r="D558" s="4"/>
      <c r="E558" s="5"/>
      <c r="F558" s="6"/>
      <c r="G558" s="7"/>
      <c r="H558" s="8"/>
      <c r="I558" s="5"/>
      <c r="J558" s="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x14ac:dyDescent="0.45">
      <c r="A559" s="2"/>
      <c r="B559" s="2"/>
      <c r="C559" s="3"/>
      <c r="D559" s="4"/>
      <c r="E559" s="5"/>
      <c r="F559" s="6"/>
      <c r="G559" s="7"/>
      <c r="H559" s="8"/>
      <c r="I559" s="5"/>
      <c r="J559" s="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x14ac:dyDescent="0.45">
      <c r="A560" s="2"/>
      <c r="B560" s="2"/>
      <c r="C560" s="3"/>
      <c r="D560" s="4"/>
      <c r="E560" s="5"/>
      <c r="F560" s="6"/>
      <c r="G560" s="7"/>
      <c r="H560" s="8"/>
      <c r="I560" s="5"/>
      <c r="J560" s="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x14ac:dyDescent="0.45">
      <c r="A561" s="2"/>
      <c r="B561" s="2"/>
      <c r="C561" s="3"/>
      <c r="D561" s="4"/>
      <c r="E561" s="5"/>
      <c r="F561" s="6"/>
      <c r="G561" s="7"/>
      <c r="H561" s="8"/>
      <c r="I561" s="5"/>
      <c r="J561" s="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x14ac:dyDescent="0.45">
      <c r="A562" s="2"/>
      <c r="B562" s="2"/>
      <c r="C562" s="3"/>
      <c r="D562" s="4"/>
      <c r="E562" s="5"/>
      <c r="F562" s="6"/>
      <c r="G562" s="7"/>
      <c r="H562" s="8"/>
      <c r="I562" s="5"/>
      <c r="J562" s="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x14ac:dyDescent="0.45">
      <c r="A563" s="2"/>
      <c r="B563" s="2"/>
      <c r="C563" s="3"/>
      <c r="D563" s="4"/>
      <c r="E563" s="5"/>
      <c r="F563" s="6"/>
      <c r="G563" s="7"/>
      <c r="H563" s="8"/>
      <c r="I563" s="5"/>
      <c r="J563" s="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x14ac:dyDescent="0.45">
      <c r="A564" s="2"/>
      <c r="B564" s="2"/>
      <c r="C564" s="3"/>
      <c r="D564" s="4"/>
      <c r="E564" s="5"/>
      <c r="F564" s="6"/>
      <c r="G564" s="7"/>
      <c r="H564" s="8"/>
      <c r="I564" s="5"/>
      <c r="J564" s="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x14ac:dyDescent="0.45">
      <c r="A565" s="2"/>
      <c r="B565" s="2"/>
      <c r="C565" s="3"/>
      <c r="D565" s="4"/>
      <c r="E565" s="5"/>
      <c r="F565" s="6"/>
      <c r="G565" s="7"/>
      <c r="H565" s="8"/>
      <c r="I565" s="5"/>
      <c r="J565" s="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x14ac:dyDescent="0.45">
      <c r="A566" s="2"/>
      <c r="B566" s="2"/>
      <c r="C566" s="3"/>
      <c r="D566" s="4"/>
      <c r="E566" s="5"/>
      <c r="F566" s="6"/>
      <c r="G566" s="7"/>
      <c r="H566" s="8"/>
      <c r="I566" s="5"/>
      <c r="J566" s="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x14ac:dyDescent="0.45">
      <c r="A567" s="2"/>
      <c r="B567" s="2"/>
      <c r="C567" s="3"/>
      <c r="D567" s="4"/>
      <c r="E567" s="5"/>
      <c r="F567" s="6"/>
      <c r="G567" s="7"/>
      <c r="H567" s="8"/>
      <c r="I567" s="5"/>
      <c r="J567" s="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x14ac:dyDescent="0.45">
      <c r="A568" s="2"/>
      <c r="B568" s="2"/>
      <c r="C568" s="3"/>
      <c r="D568" s="4"/>
      <c r="E568" s="5"/>
      <c r="F568" s="6"/>
      <c r="G568" s="7"/>
      <c r="H568" s="8"/>
      <c r="I568" s="5"/>
      <c r="J568" s="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x14ac:dyDescent="0.45">
      <c r="A569" s="2"/>
      <c r="B569" s="2"/>
      <c r="C569" s="3"/>
      <c r="D569" s="4"/>
      <c r="E569" s="5"/>
      <c r="F569" s="6"/>
      <c r="G569" s="7"/>
      <c r="H569" s="8"/>
      <c r="I569" s="5"/>
      <c r="J569" s="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x14ac:dyDescent="0.45">
      <c r="A570" s="2"/>
      <c r="B570" s="2"/>
      <c r="C570" s="3"/>
      <c r="D570" s="4"/>
      <c r="E570" s="5"/>
      <c r="F570" s="6"/>
      <c r="G570" s="7"/>
      <c r="H570" s="8"/>
      <c r="I570" s="5"/>
      <c r="J570" s="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x14ac:dyDescent="0.45">
      <c r="A571" s="2"/>
      <c r="B571" s="2"/>
      <c r="C571" s="3"/>
      <c r="D571" s="4"/>
      <c r="E571" s="5"/>
      <c r="F571" s="6"/>
      <c r="G571" s="7"/>
      <c r="H571" s="8"/>
      <c r="I571" s="5"/>
      <c r="J571" s="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x14ac:dyDescent="0.45">
      <c r="A572" s="2"/>
      <c r="B572" s="2"/>
      <c r="C572" s="3"/>
      <c r="D572" s="4"/>
      <c r="E572" s="5"/>
      <c r="F572" s="6"/>
      <c r="G572" s="7"/>
      <c r="H572" s="8"/>
      <c r="I572" s="5"/>
      <c r="J572" s="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x14ac:dyDescent="0.45">
      <c r="A573" s="2"/>
      <c r="B573" s="2"/>
      <c r="C573" s="3"/>
      <c r="D573" s="4"/>
      <c r="E573" s="5"/>
      <c r="F573" s="6"/>
      <c r="G573" s="7"/>
      <c r="H573" s="8"/>
      <c r="I573" s="5"/>
      <c r="J573" s="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x14ac:dyDescent="0.45">
      <c r="A574" s="2"/>
      <c r="B574" s="2"/>
      <c r="C574" s="3"/>
      <c r="D574" s="4"/>
      <c r="E574" s="5"/>
      <c r="F574" s="6"/>
      <c r="G574" s="7"/>
      <c r="H574" s="8"/>
      <c r="I574" s="5"/>
      <c r="J574" s="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x14ac:dyDescent="0.45">
      <c r="A575" s="2"/>
      <c r="B575" s="2"/>
      <c r="C575" s="3"/>
      <c r="D575" s="4"/>
      <c r="E575" s="5"/>
      <c r="F575" s="6"/>
      <c r="G575" s="7"/>
      <c r="H575" s="8"/>
      <c r="I575" s="5"/>
      <c r="J575" s="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x14ac:dyDescent="0.45">
      <c r="A576" s="2"/>
      <c r="B576" s="2"/>
      <c r="C576" s="3"/>
      <c r="D576" s="4"/>
      <c r="E576" s="5"/>
      <c r="F576" s="6"/>
      <c r="G576" s="7"/>
      <c r="H576" s="8"/>
      <c r="I576" s="5"/>
      <c r="J576" s="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x14ac:dyDescent="0.45">
      <c r="A577" s="2"/>
      <c r="B577" s="2"/>
      <c r="C577" s="3"/>
      <c r="D577" s="4"/>
      <c r="E577" s="5"/>
      <c r="F577" s="6"/>
      <c r="G577" s="7"/>
      <c r="H577" s="8"/>
      <c r="I577" s="5"/>
      <c r="J577" s="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x14ac:dyDescent="0.45">
      <c r="A578" s="2"/>
      <c r="B578" s="2"/>
      <c r="C578" s="3"/>
      <c r="D578" s="4"/>
      <c r="E578" s="5"/>
      <c r="F578" s="6"/>
      <c r="G578" s="7"/>
      <c r="H578" s="8"/>
      <c r="I578" s="5"/>
      <c r="J578" s="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x14ac:dyDescent="0.45">
      <c r="A579" s="2"/>
      <c r="B579" s="2"/>
      <c r="C579" s="3"/>
      <c r="D579" s="4"/>
      <c r="E579" s="5"/>
      <c r="F579" s="6"/>
      <c r="G579" s="7"/>
      <c r="H579" s="8"/>
      <c r="I579" s="5"/>
      <c r="J579" s="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x14ac:dyDescent="0.45">
      <c r="A580" s="2"/>
      <c r="B580" s="2"/>
      <c r="C580" s="3"/>
      <c r="D580" s="4"/>
      <c r="E580" s="5"/>
      <c r="F580" s="6"/>
      <c r="G580" s="7"/>
      <c r="H580" s="8"/>
      <c r="I580" s="5"/>
      <c r="J580" s="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x14ac:dyDescent="0.45">
      <c r="A581" s="2"/>
      <c r="B581" s="2"/>
      <c r="C581" s="3"/>
      <c r="D581" s="4"/>
      <c r="E581" s="5"/>
      <c r="F581" s="6"/>
      <c r="G581" s="7"/>
      <c r="H581" s="8"/>
      <c r="I581" s="5"/>
      <c r="J581" s="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x14ac:dyDescent="0.45">
      <c r="A582" s="2"/>
      <c r="B582" s="2"/>
      <c r="C582" s="3"/>
      <c r="D582" s="4"/>
      <c r="E582" s="5"/>
      <c r="F582" s="6"/>
      <c r="G582" s="7"/>
      <c r="H582" s="8"/>
      <c r="I582" s="5"/>
      <c r="J582" s="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x14ac:dyDescent="0.45">
      <c r="A583" s="2"/>
      <c r="B583" s="2"/>
      <c r="C583" s="3"/>
      <c r="D583" s="4"/>
      <c r="E583" s="5"/>
      <c r="F583" s="6"/>
      <c r="G583" s="7"/>
      <c r="H583" s="8"/>
      <c r="I583" s="5"/>
      <c r="J583" s="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x14ac:dyDescent="0.45">
      <c r="A584" s="2"/>
      <c r="B584" s="2"/>
      <c r="C584" s="3"/>
      <c r="D584" s="4"/>
      <c r="E584" s="5"/>
      <c r="F584" s="6"/>
      <c r="G584" s="7"/>
      <c r="H584" s="8"/>
      <c r="I584" s="5"/>
      <c r="J584" s="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x14ac:dyDescent="0.45">
      <c r="A585" s="2"/>
      <c r="B585" s="2"/>
      <c r="C585" s="3"/>
      <c r="D585" s="4"/>
      <c r="E585" s="5"/>
      <c r="F585" s="6"/>
      <c r="G585" s="7"/>
      <c r="H585" s="8"/>
      <c r="I585" s="5"/>
      <c r="J585" s="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x14ac:dyDescent="0.45">
      <c r="A586" s="2"/>
      <c r="B586" s="2"/>
      <c r="C586" s="3"/>
      <c r="D586" s="4"/>
      <c r="E586" s="5"/>
      <c r="F586" s="6"/>
      <c r="G586" s="7"/>
      <c r="H586" s="8"/>
      <c r="I586" s="5"/>
      <c r="J586" s="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x14ac:dyDescent="0.45">
      <c r="A587" s="2"/>
      <c r="B587" s="2"/>
      <c r="C587" s="3"/>
      <c r="D587" s="4"/>
      <c r="E587" s="5"/>
      <c r="F587" s="6"/>
      <c r="G587" s="7"/>
      <c r="H587" s="8"/>
      <c r="I587" s="5"/>
      <c r="J587" s="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x14ac:dyDescent="0.45">
      <c r="A588" s="2"/>
      <c r="B588" s="2"/>
      <c r="C588" s="3"/>
      <c r="D588" s="4"/>
      <c r="E588" s="5"/>
      <c r="F588" s="6"/>
      <c r="G588" s="7"/>
      <c r="H588" s="8"/>
      <c r="I588" s="5"/>
      <c r="J588" s="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x14ac:dyDescent="0.45">
      <c r="A589" s="2"/>
      <c r="B589" s="2"/>
      <c r="C589" s="3"/>
      <c r="D589" s="4"/>
      <c r="E589" s="5"/>
      <c r="F589" s="6"/>
      <c r="G589" s="7"/>
      <c r="H589" s="8"/>
      <c r="I589" s="5"/>
      <c r="J589" s="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x14ac:dyDescent="0.45">
      <c r="A590" s="2"/>
      <c r="B590" s="2"/>
      <c r="C590" s="3"/>
      <c r="D590" s="4"/>
      <c r="E590" s="5"/>
      <c r="F590" s="6"/>
      <c r="G590" s="7"/>
      <c r="H590" s="8"/>
      <c r="I590" s="5"/>
      <c r="J590" s="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x14ac:dyDescent="0.45">
      <c r="A591" s="2"/>
      <c r="B591" s="2"/>
      <c r="C591" s="3"/>
      <c r="D591" s="4"/>
      <c r="E591" s="5"/>
      <c r="F591" s="6"/>
      <c r="G591" s="7"/>
      <c r="H591" s="8"/>
      <c r="I591" s="5"/>
      <c r="J591" s="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x14ac:dyDescent="0.45">
      <c r="A592" s="2"/>
      <c r="B592" s="2"/>
      <c r="C592" s="3"/>
      <c r="D592" s="4"/>
      <c r="E592" s="5"/>
      <c r="F592" s="6"/>
      <c r="G592" s="7"/>
      <c r="H592" s="8"/>
      <c r="I592" s="5"/>
      <c r="J592" s="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x14ac:dyDescent="0.45">
      <c r="A593" s="2"/>
      <c r="B593" s="2"/>
      <c r="C593" s="3"/>
      <c r="D593" s="4"/>
      <c r="E593" s="5"/>
      <c r="F593" s="6"/>
      <c r="G593" s="7"/>
      <c r="H593" s="8"/>
      <c r="I593" s="5"/>
      <c r="J593" s="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x14ac:dyDescent="0.45">
      <c r="A594" s="2"/>
      <c r="B594" s="2"/>
      <c r="C594" s="3"/>
      <c r="D594" s="4"/>
      <c r="E594" s="5"/>
      <c r="F594" s="6"/>
      <c r="G594" s="7"/>
      <c r="H594" s="8"/>
      <c r="I594" s="5"/>
      <c r="J594" s="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x14ac:dyDescent="0.45">
      <c r="A595" s="2"/>
      <c r="B595" s="2"/>
      <c r="C595" s="3"/>
      <c r="D595" s="4"/>
      <c r="E595" s="5"/>
      <c r="F595" s="6"/>
      <c r="G595" s="7"/>
      <c r="H595" s="8"/>
      <c r="I595" s="5"/>
      <c r="J595" s="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x14ac:dyDescent="0.45">
      <c r="A596" s="2"/>
      <c r="B596" s="2"/>
      <c r="C596" s="3"/>
      <c r="D596" s="4"/>
      <c r="E596" s="5"/>
      <c r="F596" s="6"/>
      <c r="G596" s="7"/>
      <c r="H596" s="8"/>
      <c r="I596" s="5"/>
      <c r="J596" s="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x14ac:dyDescent="0.45">
      <c r="A597" s="2"/>
      <c r="B597" s="2"/>
      <c r="C597" s="3"/>
      <c r="D597" s="4"/>
      <c r="E597" s="5"/>
      <c r="F597" s="6"/>
      <c r="G597" s="7"/>
      <c r="H597" s="8"/>
      <c r="I597" s="5"/>
      <c r="J597" s="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x14ac:dyDescent="0.45">
      <c r="A598" s="2"/>
      <c r="B598" s="2"/>
      <c r="C598" s="3"/>
      <c r="D598" s="4"/>
      <c r="E598" s="5"/>
      <c r="F598" s="6"/>
      <c r="G598" s="7"/>
      <c r="H598" s="8"/>
      <c r="I598" s="5"/>
      <c r="J598" s="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x14ac:dyDescent="0.45">
      <c r="A599" s="2"/>
      <c r="B599" s="2"/>
      <c r="C599" s="3"/>
      <c r="D599" s="4"/>
      <c r="E599" s="5"/>
      <c r="F599" s="6"/>
      <c r="G599" s="7"/>
      <c r="H599" s="8"/>
      <c r="I599" s="5"/>
      <c r="J599" s="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x14ac:dyDescent="0.45">
      <c r="A600" s="2"/>
      <c r="B600" s="2"/>
      <c r="C600" s="3"/>
      <c r="D600" s="4"/>
      <c r="E600" s="5"/>
      <c r="F600" s="6"/>
      <c r="G600" s="7"/>
      <c r="H600" s="8"/>
      <c r="I600" s="5"/>
      <c r="J600" s="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x14ac:dyDescent="0.45">
      <c r="A601" s="2"/>
      <c r="B601" s="2"/>
      <c r="C601" s="3"/>
      <c r="D601" s="4"/>
      <c r="E601" s="5"/>
      <c r="F601" s="6"/>
      <c r="G601" s="7"/>
      <c r="H601" s="8"/>
      <c r="I601" s="5"/>
      <c r="J601" s="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x14ac:dyDescent="0.45">
      <c r="A602" s="2"/>
      <c r="B602" s="2"/>
      <c r="C602" s="3"/>
      <c r="D602" s="4"/>
      <c r="E602" s="5"/>
      <c r="F602" s="6"/>
      <c r="G602" s="7"/>
      <c r="H602" s="8"/>
      <c r="I602" s="5"/>
      <c r="J602" s="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x14ac:dyDescent="0.45">
      <c r="A603" s="2"/>
      <c r="B603" s="2"/>
      <c r="C603" s="3"/>
      <c r="D603" s="4"/>
      <c r="E603" s="5"/>
      <c r="F603" s="6"/>
      <c r="G603" s="7"/>
      <c r="H603" s="8"/>
      <c r="I603" s="5"/>
      <c r="J603" s="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x14ac:dyDescent="0.45">
      <c r="A604" s="2"/>
      <c r="B604" s="2"/>
      <c r="C604" s="3"/>
      <c r="D604" s="4"/>
      <c r="E604" s="5"/>
      <c r="F604" s="6"/>
      <c r="G604" s="7"/>
      <c r="H604" s="8"/>
      <c r="I604" s="5"/>
      <c r="J604" s="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x14ac:dyDescent="0.45">
      <c r="A605" s="2"/>
      <c r="B605" s="2"/>
      <c r="C605" s="3"/>
      <c r="D605" s="4"/>
      <c r="E605" s="5"/>
      <c r="F605" s="6"/>
      <c r="G605" s="7"/>
      <c r="H605" s="8"/>
      <c r="I605" s="5"/>
      <c r="J605" s="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x14ac:dyDescent="0.45">
      <c r="A606" s="2"/>
      <c r="B606" s="2"/>
      <c r="C606" s="3"/>
      <c r="D606" s="4"/>
      <c r="E606" s="5"/>
      <c r="F606" s="6"/>
      <c r="G606" s="7"/>
      <c r="H606" s="8"/>
      <c r="I606" s="5"/>
      <c r="J606" s="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x14ac:dyDescent="0.45">
      <c r="A607" s="2"/>
      <c r="B607" s="2"/>
      <c r="C607" s="3"/>
      <c r="D607" s="4"/>
      <c r="E607" s="5"/>
      <c r="F607" s="6"/>
      <c r="G607" s="7"/>
      <c r="H607" s="8"/>
      <c r="I607" s="5"/>
      <c r="J607" s="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x14ac:dyDescent="0.45">
      <c r="A608" s="2"/>
      <c r="B608" s="2"/>
      <c r="C608" s="3"/>
      <c r="D608" s="4"/>
      <c r="E608" s="5"/>
      <c r="F608" s="6"/>
      <c r="G608" s="7"/>
      <c r="H608" s="8"/>
      <c r="I608" s="5"/>
      <c r="J608" s="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x14ac:dyDescent="0.45">
      <c r="A609" s="2"/>
      <c r="B609" s="2"/>
      <c r="C609" s="3"/>
      <c r="D609" s="4"/>
      <c r="E609" s="5"/>
      <c r="F609" s="6"/>
      <c r="G609" s="7"/>
      <c r="H609" s="8"/>
      <c r="I609" s="5"/>
      <c r="J609" s="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x14ac:dyDescent="0.45">
      <c r="A610" s="2"/>
      <c r="B610" s="2"/>
      <c r="C610" s="3"/>
      <c r="D610" s="4"/>
      <c r="E610" s="5"/>
      <c r="F610" s="6"/>
      <c r="G610" s="7"/>
      <c r="H610" s="8"/>
      <c r="I610" s="5"/>
      <c r="J610" s="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x14ac:dyDescent="0.45">
      <c r="A611" s="2"/>
      <c r="B611" s="2"/>
      <c r="C611" s="3"/>
      <c r="D611" s="4"/>
      <c r="E611" s="5"/>
      <c r="F611" s="6"/>
      <c r="G611" s="7"/>
      <c r="H611" s="8"/>
      <c r="I611" s="5"/>
      <c r="J611" s="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x14ac:dyDescent="0.45">
      <c r="A612" s="2"/>
      <c r="B612" s="2"/>
      <c r="C612" s="3"/>
      <c r="D612" s="4"/>
      <c r="E612" s="5"/>
      <c r="F612" s="6"/>
      <c r="G612" s="7"/>
      <c r="H612" s="8"/>
      <c r="I612" s="5"/>
      <c r="J612" s="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x14ac:dyDescent="0.45">
      <c r="A613" s="2"/>
      <c r="B613" s="2"/>
      <c r="C613" s="3"/>
      <c r="D613" s="4"/>
      <c r="E613" s="5"/>
      <c r="F613" s="6"/>
      <c r="G613" s="7"/>
      <c r="H613" s="8"/>
      <c r="I613" s="5"/>
      <c r="J613" s="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x14ac:dyDescent="0.45">
      <c r="A614" s="2"/>
      <c r="B614" s="2"/>
      <c r="C614" s="3"/>
      <c r="D614" s="4"/>
      <c r="E614" s="5"/>
      <c r="F614" s="6"/>
      <c r="G614" s="7"/>
      <c r="H614" s="8"/>
      <c r="I614" s="5"/>
      <c r="J614" s="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x14ac:dyDescent="0.45">
      <c r="A615" s="2"/>
      <c r="B615" s="2"/>
      <c r="C615" s="3"/>
      <c r="D615" s="4"/>
      <c r="E615" s="5"/>
      <c r="F615" s="6"/>
      <c r="G615" s="7"/>
      <c r="H615" s="8"/>
      <c r="I615" s="5"/>
      <c r="J615" s="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x14ac:dyDescent="0.45">
      <c r="A616" s="2"/>
      <c r="B616" s="2"/>
      <c r="C616" s="3"/>
      <c r="D616" s="4"/>
      <c r="E616" s="5"/>
      <c r="F616" s="6"/>
      <c r="G616" s="7"/>
      <c r="H616" s="8"/>
      <c r="I616" s="5"/>
      <c r="J616" s="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x14ac:dyDescent="0.45">
      <c r="A617" s="2"/>
      <c r="B617" s="2"/>
      <c r="C617" s="3"/>
      <c r="D617" s="4"/>
      <c r="E617" s="5"/>
      <c r="F617" s="6"/>
      <c r="G617" s="7"/>
      <c r="H617" s="8"/>
      <c r="I617" s="5"/>
      <c r="J617" s="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x14ac:dyDescent="0.45">
      <c r="A618" s="2"/>
      <c r="B618" s="2"/>
      <c r="C618" s="3"/>
      <c r="D618" s="4"/>
      <c r="E618" s="5"/>
      <c r="F618" s="6"/>
      <c r="G618" s="7"/>
      <c r="H618" s="8"/>
      <c r="I618" s="5"/>
      <c r="J618" s="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x14ac:dyDescent="0.45">
      <c r="A619" s="2"/>
      <c r="B619" s="2"/>
      <c r="C619" s="3"/>
      <c r="D619" s="4"/>
      <c r="E619" s="5"/>
      <c r="F619" s="6"/>
      <c r="G619" s="7"/>
      <c r="H619" s="8"/>
      <c r="I619" s="5"/>
      <c r="J619" s="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x14ac:dyDescent="0.45">
      <c r="A620" s="2"/>
      <c r="B620" s="2"/>
      <c r="C620" s="3"/>
      <c r="D620" s="4"/>
      <c r="E620" s="5"/>
      <c r="F620" s="6"/>
      <c r="G620" s="7"/>
      <c r="H620" s="8"/>
      <c r="I620" s="5"/>
      <c r="J620" s="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x14ac:dyDescent="0.45">
      <c r="A621" s="2"/>
      <c r="B621" s="2"/>
      <c r="C621" s="3"/>
      <c r="D621" s="4"/>
      <c r="E621" s="5"/>
      <c r="F621" s="6"/>
      <c r="G621" s="7"/>
      <c r="H621" s="8"/>
      <c r="I621" s="5"/>
      <c r="J621" s="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x14ac:dyDescent="0.45">
      <c r="A622" s="2"/>
      <c r="B622" s="2"/>
      <c r="C622" s="3"/>
      <c r="D622" s="4"/>
      <c r="E622" s="5"/>
      <c r="F622" s="6"/>
      <c r="G622" s="7"/>
      <c r="H622" s="8"/>
      <c r="I622" s="5"/>
      <c r="J622" s="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x14ac:dyDescent="0.45">
      <c r="A623" s="2"/>
      <c r="B623" s="2"/>
      <c r="C623" s="3"/>
      <c r="D623" s="4"/>
      <c r="E623" s="5"/>
      <c r="F623" s="6"/>
      <c r="G623" s="7"/>
      <c r="H623" s="8"/>
      <c r="I623" s="5"/>
      <c r="J623" s="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x14ac:dyDescent="0.45">
      <c r="A624" s="2"/>
      <c r="B624" s="2"/>
      <c r="C624" s="3"/>
      <c r="D624" s="4"/>
      <c r="E624" s="5"/>
      <c r="F624" s="6"/>
      <c r="G624" s="7"/>
      <c r="H624" s="8"/>
      <c r="I624" s="5"/>
      <c r="J624" s="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x14ac:dyDescent="0.45">
      <c r="A625" s="2"/>
      <c r="B625" s="2"/>
      <c r="C625" s="3"/>
      <c r="D625" s="4"/>
      <c r="E625" s="5"/>
      <c r="F625" s="6"/>
      <c r="G625" s="7"/>
      <c r="H625" s="8"/>
      <c r="I625" s="5"/>
      <c r="J625" s="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x14ac:dyDescent="0.45">
      <c r="A626" s="2"/>
      <c r="B626" s="2"/>
      <c r="C626" s="3"/>
      <c r="D626" s="4"/>
      <c r="E626" s="5"/>
      <c r="F626" s="6"/>
      <c r="G626" s="7"/>
      <c r="H626" s="8"/>
      <c r="I626" s="5"/>
      <c r="J626" s="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x14ac:dyDescent="0.45">
      <c r="A627" s="2"/>
      <c r="B627" s="2"/>
      <c r="C627" s="3"/>
      <c r="D627" s="4"/>
      <c r="E627" s="5"/>
      <c r="F627" s="6"/>
      <c r="G627" s="7"/>
      <c r="H627" s="8"/>
      <c r="I627" s="5"/>
      <c r="J627" s="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x14ac:dyDescent="0.45">
      <c r="A628" s="2"/>
      <c r="B628" s="2"/>
      <c r="C628" s="3"/>
      <c r="D628" s="4"/>
      <c r="E628" s="5"/>
      <c r="F628" s="6"/>
      <c r="G628" s="7"/>
      <c r="H628" s="8"/>
      <c r="I628" s="5"/>
      <c r="J628" s="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x14ac:dyDescent="0.45">
      <c r="A629" s="2"/>
      <c r="B629" s="2"/>
      <c r="C629" s="3"/>
      <c r="D629" s="4"/>
      <c r="E629" s="5"/>
      <c r="F629" s="6"/>
      <c r="G629" s="7"/>
      <c r="H629" s="8"/>
      <c r="I629" s="5"/>
      <c r="J629" s="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x14ac:dyDescent="0.45">
      <c r="A630" s="2"/>
      <c r="B630" s="2"/>
      <c r="C630" s="3"/>
      <c r="D630" s="4"/>
      <c r="E630" s="5"/>
      <c r="F630" s="6"/>
      <c r="G630" s="7"/>
      <c r="H630" s="8"/>
      <c r="I630" s="5"/>
      <c r="J630" s="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x14ac:dyDescent="0.45">
      <c r="A631" s="2"/>
      <c r="B631" s="2"/>
      <c r="C631" s="3"/>
      <c r="D631" s="4"/>
      <c r="E631" s="5"/>
      <c r="F631" s="6"/>
      <c r="G631" s="7"/>
      <c r="H631" s="8"/>
      <c r="I631" s="5"/>
      <c r="J631" s="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x14ac:dyDescent="0.45">
      <c r="A632" s="2"/>
      <c r="B632" s="2"/>
      <c r="C632" s="3"/>
      <c r="D632" s="4"/>
      <c r="E632" s="5"/>
      <c r="F632" s="6"/>
      <c r="G632" s="7"/>
      <c r="H632" s="8"/>
      <c r="I632" s="5"/>
      <c r="J632" s="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x14ac:dyDescent="0.45">
      <c r="A633" s="2"/>
      <c r="B633" s="2"/>
      <c r="C633" s="3"/>
      <c r="D633" s="4"/>
      <c r="E633" s="5"/>
      <c r="F633" s="6"/>
      <c r="G633" s="7"/>
      <c r="H633" s="8"/>
      <c r="I633" s="5"/>
      <c r="J633" s="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x14ac:dyDescent="0.45">
      <c r="A634" s="2"/>
      <c r="B634" s="2"/>
      <c r="C634" s="3"/>
      <c r="D634" s="4"/>
      <c r="E634" s="5"/>
      <c r="F634" s="6"/>
      <c r="G634" s="7"/>
      <c r="H634" s="8"/>
      <c r="I634" s="5"/>
      <c r="J634" s="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x14ac:dyDescent="0.45">
      <c r="A635" s="2"/>
      <c r="B635" s="2"/>
      <c r="C635" s="3"/>
      <c r="D635" s="4"/>
      <c r="E635" s="5"/>
      <c r="F635" s="6"/>
      <c r="G635" s="7"/>
      <c r="H635" s="8"/>
      <c r="I635" s="5"/>
      <c r="J635" s="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x14ac:dyDescent="0.45">
      <c r="A636" s="2"/>
      <c r="B636" s="2"/>
      <c r="C636" s="3"/>
      <c r="D636" s="4"/>
      <c r="E636" s="5"/>
      <c r="F636" s="6"/>
      <c r="G636" s="7"/>
      <c r="H636" s="8"/>
      <c r="I636" s="5"/>
      <c r="J636" s="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x14ac:dyDescent="0.45">
      <c r="A637" s="2"/>
      <c r="B637" s="2"/>
      <c r="C637" s="3"/>
      <c r="D637" s="4"/>
      <c r="E637" s="5"/>
      <c r="F637" s="6"/>
      <c r="G637" s="7"/>
      <c r="H637" s="8"/>
      <c r="I637" s="5"/>
      <c r="J637" s="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x14ac:dyDescent="0.45">
      <c r="A638" s="2"/>
      <c r="B638" s="2"/>
      <c r="C638" s="3"/>
      <c r="D638" s="4"/>
      <c r="E638" s="5"/>
      <c r="F638" s="6"/>
      <c r="G638" s="7"/>
      <c r="H638" s="8"/>
      <c r="I638" s="5"/>
      <c r="J638" s="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x14ac:dyDescent="0.45">
      <c r="A639" s="2"/>
      <c r="B639" s="2"/>
      <c r="C639" s="3"/>
      <c r="D639" s="4"/>
      <c r="E639" s="5"/>
      <c r="F639" s="6"/>
      <c r="G639" s="7"/>
      <c r="H639" s="8"/>
      <c r="I639" s="5"/>
      <c r="J639" s="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x14ac:dyDescent="0.45">
      <c r="A640" s="2"/>
      <c r="B640" s="2"/>
      <c r="C640" s="3"/>
      <c r="D640" s="4"/>
      <c r="E640" s="5"/>
      <c r="F640" s="6"/>
      <c r="G640" s="7"/>
      <c r="H640" s="8"/>
      <c r="I640" s="5"/>
      <c r="J640" s="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x14ac:dyDescent="0.45">
      <c r="A641" s="2"/>
      <c r="B641" s="2"/>
      <c r="C641" s="3"/>
      <c r="D641" s="4"/>
      <c r="E641" s="5"/>
      <c r="F641" s="6"/>
      <c r="G641" s="7"/>
      <c r="H641" s="8"/>
      <c r="I641" s="5"/>
      <c r="J641" s="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x14ac:dyDescent="0.45">
      <c r="A642" s="2"/>
      <c r="B642" s="2"/>
      <c r="C642" s="3"/>
      <c r="D642" s="4"/>
      <c r="E642" s="5"/>
      <c r="F642" s="6"/>
      <c r="G642" s="7"/>
      <c r="H642" s="8"/>
      <c r="I642" s="5"/>
      <c r="J642" s="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x14ac:dyDescent="0.45">
      <c r="A643" s="2"/>
      <c r="B643" s="2"/>
      <c r="C643" s="3"/>
      <c r="D643" s="4"/>
      <c r="E643" s="5"/>
      <c r="F643" s="6"/>
      <c r="G643" s="7"/>
      <c r="H643" s="8"/>
      <c r="I643" s="5"/>
      <c r="J643" s="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x14ac:dyDescent="0.45">
      <c r="A644" s="2"/>
      <c r="B644" s="2"/>
      <c r="C644" s="3"/>
      <c r="D644" s="4"/>
      <c r="E644" s="5"/>
      <c r="F644" s="6"/>
      <c r="G644" s="7"/>
      <c r="H644" s="8"/>
      <c r="I644" s="5"/>
      <c r="J644" s="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x14ac:dyDescent="0.45">
      <c r="A645" s="2"/>
      <c r="B645" s="2"/>
      <c r="C645" s="3"/>
      <c r="D645" s="4"/>
      <c r="E645" s="5"/>
      <c r="F645" s="6"/>
      <c r="G645" s="7"/>
      <c r="H645" s="8"/>
      <c r="I645" s="5"/>
      <c r="J645" s="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x14ac:dyDescent="0.45">
      <c r="A646" s="2"/>
      <c r="B646" s="2"/>
      <c r="C646" s="3"/>
      <c r="D646" s="4"/>
      <c r="E646" s="5"/>
      <c r="F646" s="6"/>
      <c r="G646" s="7"/>
      <c r="H646" s="8"/>
      <c r="I646" s="5"/>
      <c r="J646" s="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x14ac:dyDescent="0.45">
      <c r="A647" s="2"/>
      <c r="B647" s="2"/>
      <c r="C647" s="3"/>
      <c r="D647" s="4"/>
      <c r="E647" s="5"/>
      <c r="F647" s="6"/>
      <c r="G647" s="7"/>
      <c r="H647" s="8"/>
      <c r="I647" s="5"/>
      <c r="J647" s="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x14ac:dyDescent="0.45">
      <c r="A648" s="2"/>
      <c r="B648" s="2"/>
      <c r="C648" s="3"/>
      <c r="D648" s="4"/>
      <c r="E648" s="5"/>
      <c r="F648" s="6"/>
      <c r="G648" s="7"/>
      <c r="H648" s="8"/>
      <c r="I648" s="5"/>
      <c r="J648" s="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x14ac:dyDescent="0.45">
      <c r="A649" s="2"/>
      <c r="B649" s="2"/>
      <c r="C649" s="3"/>
      <c r="D649" s="4"/>
      <c r="E649" s="5"/>
      <c r="F649" s="6"/>
      <c r="G649" s="7"/>
      <c r="H649" s="8"/>
      <c r="I649" s="5"/>
      <c r="J649" s="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x14ac:dyDescent="0.45">
      <c r="A650" s="2"/>
      <c r="B650" s="2"/>
      <c r="C650" s="3"/>
      <c r="D650" s="4"/>
      <c r="E650" s="5"/>
      <c r="F650" s="6"/>
      <c r="G650" s="7"/>
      <c r="H650" s="8"/>
      <c r="I650" s="5"/>
      <c r="J650" s="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x14ac:dyDescent="0.45">
      <c r="A651" s="2"/>
      <c r="B651" s="2"/>
      <c r="C651" s="3"/>
      <c r="D651" s="4"/>
      <c r="E651" s="5"/>
      <c r="F651" s="6"/>
      <c r="G651" s="7"/>
      <c r="H651" s="8"/>
      <c r="I651" s="5"/>
      <c r="J651" s="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x14ac:dyDescent="0.45">
      <c r="A652" s="2"/>
      <c r="B652" s="2"/>
      <c r="C652" s="3"/>
      <c r="D652" s="4"/>
      <c r="E652" s="5"/>
      <c r="F652" s="6"/>
      <c r="G652" s="7"/>
      <c r="H652" s="8"/>
      <c r="I652" s="5"/>
      <c r="J652" s="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x14ac:dyDescent="0.45">
      <c r="A653" s="2"/>
      <c r="B653" s="2"/>
      <c r="C653" s="3"/>
      <c r="D653" s="4"/>
      <c r="E653" s="5"/>
      <c r="F653" s="6"/>
      <c r="G653" s="7"/>
      <c r="H653" s="8"/>
      <c r="I653" s="5"/>
      <c r="J653" s="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x14ac:dyDescent="0.45">
      <c r="A654" s="2"/>
      <c r="B654" s="2"/>
      <c r="C654" s="3"/>
      <c r="D654" s="4"/>
      <c r="E654" s="5"/>
      <c r="F654" s="6"/>
      <c r="G654" s="7"/>
      <c r="H654" s="8"/>
      <c r="I654" s="5"/>
      <c r="J654" s="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x14ac:dyDescent="0.45">
      <c r="A655" s="2"/>
      <c r="B655" s="2"/>
      <c r="C655" s="3"/>
      <c r="D655" s="4"/>
      <c r="E655" s="5"/>
      <c r="F655" s="6"/>
      <c r="G655" s="7"/>
      <c r="H655" s="8"/>
      <c r="I655" s="5"/>
      <c r="J655" s="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x14ac:dyDescent="0.45">
      <c r="A656" s="2"/>
      <c r="B656" s="2"/>
      <c r="C656" s="3"/>
      <c r="D656" s="4"/>
      <c r="E656" s="5"/>
      <c r="F656" s="6"/>
      <c r="G656" s="7"/>
      <c r="H656" s="8"/>
      <c r="I656" s="5"/>
      <c r="J656" s="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x14ac:dyDescent="0.45">
      <c r="A657" s="2"/>
      <c r="B657" s="2"/>
      <c r="C657" s="3"/>
      <c r="D657" s="4"/>
      <c r="E657" s="5"/>
      <c r="F657" s="6"/>
      <c r="G657" s="7"/>
      <c r="H657" s="8"/>
      <c r="I657" s="5"/>
      <c r="J657" s="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x14ac:dyDescent="0.45">
      <c r="A658" s="2"/>
      <c r="B658" s="2"/>
      <c r="C658" s="3"/>
      <c r="D658" s="4"/>
      <c r="E658" s="5"/>
      <c r="F658" s="6"/>
      <c r="G658" s="7"/>
      <c r="H658" s="8"/>
      <c r="I658" s="5"/>
      <c r="J658" s="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x14ac:dyDescent="0.45">
      <c r="A659" s="2"/>
      <c r="B659" s="2"/>
      <c r="C659" s="3"/>
      <c r="D659" s="4"/>
      <c r="E659" s="5"/>
      <c r="F659" s="6"/>
      <c r="G659" s="7"/>
      <c r="H659" s="8"/>
      <c r="I659" s="5"/>
      <c r="J659" s="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x14ac:dyDescent="0.45">
      <c r="A660" s="2"/>
      <c r="B660" s="2"/>
      <c r="C660" s="3"/>
      <c r="D660" s="4"/>
      <c r="E660" s="5"/>
      <c r="F660" s="6"/>
      <c r="G660" s="7"/>
      <c r="H660" s="8"/>
      <c r="I660" s="5"/>
      <c r="J660" s="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x14ac:dyDescent="0.45">
      <c r="A661" s="2"/>
      <c r="B661" s="2"/>
      <c r="C661" s="3"/>
      <c r="D661" s="4"/>
      <c r="E661" s="5"/>
      <c r="F661" s="6"/>
      <c r="G661" s="7"/>
      <c r="H661" s="8"/>
      <c r="I661" s="5"/>
      <c r="J661" s="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x14ac:dyDescent="0.45">
      <c r="A662" s="2"/>
      <c r="B662" s="2"/>
      <c r="C662" s="3"/>
      <c r="D662" s="4"/>
      <c r="E662" s="5"/>
      <c r="F662" s="6"/>
      <c r="G662" s="7"/>
      <c r="H662" s="8"/>
      <c r="I662" s="5"/>
      <c r="J662" s="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x14ac:dyDescent="0.45">
      <c r="A663" s="2"/>
      <c r="B663" s="2"/>
      <c r="C663" s="3"/>
      <c r="D663" s="4"/>
      <c r="E663" s="5"/>
      <c r="F663" s="6"/>
      <c r="G663" s="7"/>
      <c r="H663" s="8"/>
      <c r="I663" s="5"/>
      <c r="J663" s="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x14ac:dyDescent="0.45">
      <c r="A664" s="2"/>
      <c r="B664" s="2"/>
      <c r="C664" s="3"/>
      <c r="D664" s="4"/>
      <c r="E664" s="5"/>
      <c r="F664" s="6"/>
      <c r="G664" s="7"/>
      <c r="H664" s="8"/>
      <c r="I664" s="5"/>
      <c r="J664" s="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x14ac:dyDescent="0.45">
      <c r="A665" s="2"/>
      <c r="B665" s="2"/>
      <c r="C665" s="3"/>
      <c r="D665" s="4"/>
      <c r="E665" s="5"/>
      <c r="F665" s="6"/>
      <c r="G665" s="7"/>
      <c r="H665" s="8"/>
      <c r="I665" s="5"/>
      <c r="J665" s="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x14ac:dyDescent="0.45">
      <c r="A666" s="2"/>
      <c r="B666" s="2"/>
      <c r="C666" s="3"/>
      <c r="D666" s="4"/>
      <c r="E666" s="5"/>
      <c r="F666" s="6"/>
      <c r="G666" s="7"/>
      <c r="H666" s="8"/>
      <c r="I666" s="5"/>
      <c r="J666" s="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x14ac:dyDescent="0.45">
      <c r="A667" s="2"/>
      <c r="B667" s="2"/>
      <c r="C667" s="3"/>
      <c r="D667" s="4"/>
      <c r="E667" s="5"/>
      <c r="F667" s="6"/>
      <c r="G667" s="7"/>
      <c r="H667" s="8"/>
      <c r="I667" s="5"/>
      <c r="J667" s="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x14ac:dyDescent="0.45">
      <c r="A668" s="2"/>
      <c r="B668" s="2"/>
      <c r="C668" s="3"/>
      <c r="D668" s="4"/>
      <c r="E668" s="5"/>
      <c r="F668" s="6"/>
      <c r="G668" s="7"/>
      <c r="H668" s="8"/>
      <c r="I668" s="5"/>
      <c r="J668" s="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x14ac:dyDescent="0.45">
      <c r="A669" s="2"/>
      <c r="B669" s="2"/>
      <c r="C669" s="3"/>
      <c r="D669" s="4"/>
      <c r="E669" s="5"/>
      <c r="F669" s="6"/>
      <c r="G669" s="7"/>
      <c r="H669" s="8"/>
      <c r="I669" s="5"/>
      <c r="J669" s="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x14ac:dyDescent="0.45">
      <c r="A670" s="2"/>
      <c r="B670" s="2"/>
      <c r="C670" s="3"/>
      <c r="D670" s="4"/>
      <c r="E670" s="5"/>
      <c r="F670" s="6"/>
      <c r="G670" s="7"/>
      <c r="H670" s="8"/>
      <c r="I670" s="5"/>
      <c r="J670" s="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x14ac:dyDescent="0.45">
      <c r="A671" s="2"/>
      <c r="B671" s="2"/>
      <c r="C671" s="3"/>
      <c r="D671" s="4"/>
      <c r="E671" s="5"/>
      <c r="F671" s="6"/>
      <c r="G671" s="7"/>
      <c r="H671" s="8"/>
      <c r="I671" s="5"/>
      <c r="J671" s="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x14ac:dyDescent="0.45">
      <c r="A672" s="2"/>
      <c r="B672" s="2"/>
      <c r="C672" s="3"/>
      <c r="D672" s="4"/>
      <c r="E672" s="5"/>
      <c r="F672" s="6"/>
      <c r="G672" s="7"/>
      <c r="H672" s="8"/>
      <c r="I672" s="5"/>
      <c r="J672" s="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x14ac:dyDescent="0.45">
      <c r="A673" s="2"/>
      <c r="B673" s="2"/>
      <c r="C673" s="3"/>
      <c r="D673" s="4"/>
      <c r="E673" s="5"/>
      <c r="F673" s="6"/>
      <c r="G673" s="7"/>
      <c r="H673" s="8"/>
      <c r="I673" s="5"/>
      <c r="J673" s="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x14ac:dyDescent="0.45">
      <c r="A674" s="2"/>
      <c r="B674" s="2"/>
      <c r="C674" s="3"/>
      <c r="D674" s="4"/>
      <c r="E674" s="5"/>
      <c r="F674" s="6"/>
      <c r="G674" s="7"/>
      <c r="H674" s="8"/>
      <c r="I674" s="5"/>
      <c r="J674" s="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x14ac:dyDescent="0.45">
      <c r="A675" s="2"/>
      <c r="B675" s="2"/>
      <c r="C675" s="3"/>
      <c r="D675" s="4"/>
      <c r="E675" s="5"/>
      <c r="F675" s="6"/>
      <c r="G675" s="7"/>
      <c r="H675" s="8"/>
      <c r="I675" s="5"/>
      <c r="J675" s="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x14ac:dyDescent="0.45">
      <c r="A676" s="2"/>
      <c r="B676" s="2"/>
      <c r="C676" s="3"/>
      <c r="D676" s="4"/>
      <c r="E676" s="5"/>
      <c r="F676" s="6"/>
      <c r="G676" s="7"/>
      <c r="H676" s="8"/>
      <c r="I676" s="5"/>
      <c r="J676" s="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x14ac:dyDescent="0.45">
      <c r="A677" s="2"/>
      <c r="B677" s="2"/>
      <c r="C677" s="3"/>
      <c r="D677" s="4"/>
      <c r="E677" s="5"/>
      <c r="F677" s="6"/>
      <c r="G677" s="7"/>
      <c r="H677" s="8"/>
      <c r="I677" s="5"/>
      <c r="J677" s="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x14ac:dyDescent="0.45">
      <c r="A678" s="2"/>
      <c r="B678" s="2"/>
      <c r="C678" s="3"/>
      <c r="D678" s="4"/>
      <c r="E678" s="5"/>
      <c r="F678" s="6"/>
      <c r="G678" s="7"/>
      <c r="H678" s="8"/>
      <c r="I678" s="5"/>
      <c r="J678" s="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x14ac:dyDescent="0.45">
      <c r="A679" s="2"/>
      <c r="B679" s="2"/>
      <c r="C679" s="3"/>
      <c r="D679" s="4"/>
      <c r="E679" s="5"/>
      <c r="F679" s="6"/>
      <c r="G679" s="7"/>
      <c r="H679" s="8"/>
      <c r="I679" s="5"/>
      <c r="J679" s="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x14ac:dyDescent="0.45">
      <c r="A680" s="2"/>
      <c r="B680" s="2"/>
      <c r="C680" s="3"/>
      <c r="D680" s="4"/>
      <c r="E680" s="5"/>
      <c r="F680" s="6"/>
      <c r="G680" s="7"/>
      <c r="H680" s="8"/>
      <c r="I680" s="5"/>
      <c r="J680" s="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x14ac:dyDescent="0.45">
      <c r="A681" s="2"/>
      <c r="B681" s="2"/>
      <c r="C681" s="3"/>
      <c r="D681" s="4"/>
      <c r="E681" s="5"/>
      <c r="F681" s="6"/>
      <c r="G681" s="7"/>
      <c r="H681" s="8"/>
      <c r="I681" s="5"/>
      <c r="J681" s="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x14ac:dyDescent="0.45">
      <c r="A682" s="2"/>
      <c r="B682" s="2"/>
      <c r="C682" s="3"/>
      <c r="D682" s="4"/>
      <c r="E682" s="5"/>
      <c r="F682" s="6"/>
      <c r="G682" s="7"/>
      <c r="H682" s="8"/>
      <c r="I682" s="5"/>
      <c r="J682" s="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x14ac:dyDescent="0.45">
      <c r="A683" s="2"/>
      <c r="B683" s="2"/>
      <c r="C683" s="3"/>
      <c r="D683" s="4"/>
      <c r="E683" s="5"/>
      <c r="F683" s="6"/>
      <c r="G683" s="7"/>
      <c r="H683" s="8"/>
      <c r="I683" s="5"/>
      <c r="J683" s="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x14ac:dyDescent="0.45">
      <c r="A684" s="2"/>
      <c r="B684" s="2"/>
      <c r="C684" s="3"/>
      <c r="D684" s="4"/>
      <c r="E684" s="5"/>
      <c r="F684" s="6"/>
      <c r="G684" s="7"/>
      <c r="H684" s="8"/>
      <c r="I684" s="5"/>
      <c r="J684" s="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x14ac:dyDescent="0.45">
      <c r="A685" s="2"/>
      <c r="B685" s="2"/>
      <c r="C685" s="3"/>
      <c r="D685" s="4"/>
      <c r="E685" s="5"/>
      <c r="F685" s="6"/>
      <c r="G685" s="7"/>
      <c r="H685" s="8"/>
      <c r="I685" s="5"/>
      <c r="J685" s="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x14ac:dyDescent="0.45">
      <c r="A686" s="2"/>
      <c r="B686" s="2"/>
      <c r="C686" s="3"/>
      <c r="D686" s="4"/>
      <c r="E686" s="5"/>
      <c r="F686" s="6"/>
      <c r="G686" s="7"/>
      <c r="H686" s="8"/>
      <c r="I686" s="5"/>
      <c r="J686" s="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x14ac:dyDescent="0.45">
      <c r="A687" s="2"/>
      <c r="B687" s="2"/>
      <c r="C687" s="3"/>
      <c r="D687" s="4"/>
      <c r="E687" s="5"/>
      <c r="F687" s="6"/>
      <c r="G687" s="7"/>
      <c r="H687" s="8"/>
      <c r="I687" s="5"/>
      <c r="J687" s="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x14ac:dyDescent="0.45">
      <c r="A688" s="2"/>
      <c r="B688" s="2"/>
      <c r="C688" s="3"/>
      <c r="D688" s="4"/>
      <c r="E688" s="5"/>
      <c r="F688" s="6"/>
      <c r="G688" s="7"/>
      <c r="H688" s="8"/>
      <c r="I688" s="5"/>
      <c r="J688" s="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x14ac:dyDescent="0.45">
      <c r="A689" s="2"/>
      <c r="B689" s="2"/>
      <c r="C689" s="3"/>
      <c r="D689" s="4"/>
      <c r="E689" s="5"/>
      <c r="F689" s="6"/>
      <c r="G689" s="7"/>
      <c r="H689" s="8"/>
      <c r="I689" s="5"/>
      <c r="J689" s="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x14ac:dyDescent="0.45">
      <c r="A690" s="2"/>
      <c r="B690" s="2"/>
      <c r="C690" s="3"/>
      <c r="D690" s="4"/>
      <c r="E690" s="5"/>
      <c r="F690" s="6"/>
      <c r="G690" s="7"/>
      <c r="H690" s="8"/>
      <c r="I690" s="5"/>
      <c r="J690" s="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x14ac:dyDescent="0.45">
      <c r="A691" s="2"/>
      <c r="B691" s="2"/>
      <c r="C691" s="3"/>
      <c r="D691" s="4"/>
      <c r="E691" s="5"/>
      <c r="F691" s="6"/>
      <c r="G691" s="7"/>
      <c r="H691" s="8"/>
      <c r="I691" s="5"/>
      <c r="J691" s="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x14ac:dyDescent="0.45">
      <c r="A692" s="2"/>
      <c r="B692" s="2"/>
      <c r="C692" s="3"/>
      <c r="D692" s="4"/>
      <c r="E692" s="5"/>
      <c r="F692" s="6"/>
      <c r="G692" s="7"/>
      <c r="H692" s="8"/>
      <c r="I692" s="5"/>
      <c r="J692" s="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x14ac:dyDescent="0.45">
      <c r="A693" s="2"/>
      <c r="B693" s="2"/>
      <c r="C693" s="3"/>
      <c r="D693" s="4"/>
      <c r="E693" s="5"/>
      <c r="F693" s="6"/>
      <c r="G693" s="7"/>
      <c r="H693" s="8"/>
      <c r="I693" s="5"/>
      <c r="J693" s="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x14ac:dyDescent="0.45">
      <c r="A694" s="2"/>
      <c r="B694" s="2"/>
      <c r="C694" s="3"/>
      <c r="D694" s="4"/>
      <c r="E694" s="5"/>
      <c r="F694" s="6"/>
      <c r="G694" s="7"/>
      <c r="H694" s="8"/>
      <c r="I694" s="5"/>
      <c r="J694" s="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x14ac:dyDescent="0.45">
      <c r="A695" s="2"/>
      <c r="B695" s="2"/>
      <c r="C695" s="3"/>
      <c r="D695" s="4"/>
      <c r="E695" s="5"/>
      <c r="F695" s="6"/>
      <c r="G695" s="7"/>
      <c r="H695" s="8"/>
      <c r="I695" s="5"/>
      <c r="J695" s="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x14ac:dyDescent="0.45">
      <c r="A696" s="2"/>
      <c r="B696" s="2"/>
      <c r="C696" s="3"/>
      <c r="D696" s="4"/>
      <c r="E696" s="5"/>
      <c r="F696" s="6"/>
      <c r="G696" s="7"/>
      <c r="H696" s="8"/>
      <c r="I696" s="5"/>
      <c r="J696" s="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x14ac:dyDescent="0.45">
      <c r="A697" s="2"/>
      <c r="B697" s="2"/>
      <c r="C697" s="3"/>
      <c r="D697" s="4"/>
      <c r="E697" s="5"/>
      <c r="F697" s="6"/>
      <c r="G697" s="7"/>
      <c r="H697" s="8"/>
      <c r="I697" s="5"/>
      <c r="J697" s="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x14ac:dyDescent="0.45">
      <c r="A698" s="2"/>
      <c r="B698" s="2"/>
      <c r="C698" s="3"/>
      <c r="D698" s="4"/>
      <c r="E698" s="5"/>
      <c r="F698" s="6"/>
      <c r="G698" s="7"/>
      <c r="H698" s="8"/>
      <c r="I698" s="5"/>
      <c r="J698" s="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x14ac:dyDescent="0.45">
      <c r="A699" s="2"/>
      <c r="B699" s="2"/>
      <c r="C699" s="3"/>
      <c r="D699" s="4"/>
      <c r="E699" s="5"/>
      <c r="F699" s="6"/>
      <c r="G699" s="7"/>
      <c r="H699" s="8"/>
      <c r="I699" s="5"/>
      <c r="J699" s="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x14ac:dyDescent="0.45">
      <c r="A700" s="2"/>
      <c r="B700" s="2"/>
      <c r="C700" s="3"/>
      <c r="D700" s="4"/>
      <c r="E700" s="5"/>
      <c r="F700" s="6"/>
      <c r="G700" s="7"/>
      <c r="H700" s="8"/>
      <c r="I700" s="5"/>
      <c r="J700" s="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x14ac:dyDescent="0.45">
      <c r="A701" s="2"/>
      <c r="B701" s="2"/>
      <c r="C701" s="3"/>
      <c r="D701" s="4"/>
      <c r="E701" s="5"/>
      <c r="F701" s="6"/>
      <c r="G701" s="7"/>
      <c r="H701" s="8"/>
      <c r="I701" s="5"/>
      <c r="J701" s="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x14ac:dyDescent="0.45">
      <c r="A702" s="2"/>
      <c r="B702" s="2"/>
      <c r="C702" s="3"/>
      <c r="D702" s="4"/>
      <c r="E702" s="5"/>
      <c r="F702" s="6"/>
      <c r="G702" s="7"/>
      <c r="H702" s="8"/>
      <c r="I702" s="5"/>
      <c r="J702" s="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x14ac:dyDescent="0.45">
      <c r="A703" s="2"/>
      <c r="B703" s="2"/>
      <c r="C703" s="3"/>
      <c r="D703" s="4"/>
      <c r="E703" s="5"/>
      <c r="F703" s="6"/>
      <c r="G703" s="7"/>
      <c r="H703" s="8"/>
      <c r="I703" s="5"/>
      <c r="J703" s="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x14ac:dyDescent="0.45">
      <c r="A704" s="2"/>
      <c r="B704" s="2"/>
      <c r="C704" s="3"/>
      <c r="D704" s="4"/>
      <c r="E704" s="5"/>
      <c r="F704" s="6"/>
      <c r="G704" s="7"/>
      <c r="H704" s="8"/>
      <c r="I704" s="5"/>
      <c r="J704" s="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x14ac:dyDescent="0.45">
      <c r="A705" s="2"/>
      <c r="B705" s="2"/>
      <c r="C705" s="3"/>
      <c r="D705" s="4"/>
      <c r="E705" s="5"/>
      <c r="F705" s="6"/>
      <c r="G705" s="7"/>
      <c r="H705" s="8"/>
      <c r="I705" s="5"/>
      <c r="J705" s="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x14ac:dyDescent="0.45">
      <c r="A706" s="2"/>
      <c r="B706" s="2"/>
      <c r="C706" s="3"/>
      <c r="D706" s="4"/>
      <c r="E706" s="5"/>
      <c r="F706" s="6"/>
      <c r="G706" s="7"/>
      <c r="H706" s="8"/>
      <c r="I706" s="5"/>
      <c r="J706" s="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x14ac:dyDescent="0.45">
      <c r="A707" s="2"/>
      <c r="B707" s="2"/>
      <c r="C707" s="3"/>
      <c r="D707" s="4"/>
      <c r="E707" s="5"/>
      <c r="F707" s="6"/>
      <c r="G707" s="7"/>
      <c r="H707" s="8"/>
      <c r="I707" s="5"/>
      <c r="J707" s="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x14ac:dyDescent="0.45">
      <c r="A708" s="2"/>
      <c r="B708" s="2"/>
      <c r="C708" s="3"/>
      <c r="D708" s="4"/>
      <c r="E708" s="5"/>
      <c r="F708" s="6"/>
      <c r="G708" s="7"/>
      <c r="H708" s="8"/>
      <c r="I708" s="5"/>
      <c r="J708" s="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x14ac:dyDescent="0.45">
      <c r="A709" s="2"/>
      <c r="B709" s="2"/>
      <c r="C709" s="3"/>
      <c r="D709" s="4"/>
      <c r="E709" s="5"/>
      <c r="F709" s="6"/>
      <c r="G709" s="7"/>
      <c r="H709" s="8"/>
      <c r="I709" s="5"/>
      <c r="J709" s="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x14ac:dyDescent="0.45">
      <c r="A710" s="2"/>
      <c r="B710" s="2"/>
      <c r="C710" s="3"/>
      <c r="D710" s="4"/>
      <c r="E710" s="5"/>
      <c r="F710" s="6"/>
      <c r="G710" s="7"/>
      <c r="H710" s="8"/>
      <c r="I710" s="5"/>
      <c r="J710" s="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x14ac:dyDescent="0.45">
      <c r="A711" s="2"/>
      <c r="B711" s="2"/>
      <c r="C711" s="3"/>
      <c r="D711" s="4"/>
      <c r="E711" s="5"/>
      <c r="F711" s="6"/>
      <c r="G711" s="7"/>
      <c r="H711" s="8"/>
      <c r="I711" s="5"/>
      <c r="J711" s="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x14ac:dyDescent="0.45">
      <c r="A712" s="2"/>
      <c r="B712" s="2"/>
      <c r="C712" s="3"/>
      <c r="D712" s="4"/>
      <c r="E712" s="5"/>
      <c r="F712" s="6"/>
      <c r="G712" s="7"/>
      <c r="H712" s="8"/>
      <c r="I712" s="5"/>
      <c r="J712" s="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x14ac:dyDescent="0.45">
      <c r="A713" s="2"/>
      <c r="B713" s="2"/>
      <c r="C713" s="3"/>
      <c r="D713" s="4"/>
      <c r="E713" s="5"/>
      <c r="F713" s="6"/>
      <c r="G713" s="7"/>
      <c r="H713" s="8"/>
      <c r="I713" s="5"/>
      <c r="J713" s="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x14ac:dyDescent="0.45">
      <c r="A714" s="2"/>
      <c r="B714" s="2"/>
      <c r="C714" s="3"/>
      <c r="D714" s="4"/>
      <c r="E714" s="5"/>
      <c r="F714" s="6"/>
      <c r="G714" s="7"/>
      <c r="H714" s="8"/>
      <c r="I714" s="5"/>
      <c r="J714" s="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x14ac:dyDescent="0.45">
      <c r="A715" s="2"/>
      <c r="B715" s="2"/>
      <c r="C715" s="3"/>
      <c r="D715" s="4"/>
      <c r="E715" s="5"/>
      <c r="F715" s="6"/>
      <c r="G715" s="7"/>
      <c r="H715" s="8"/>
      <c r="I715" s="5"/>
      <c r="J715" s="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x14ac:dyDescent="0.45">
      <c r="A716" s="2"/>
      <c r="B716" s="2"/>
      <c r="C716" s="3"/>
      <c r="D716" s="4"/>
      <c r="E716" s="5"/>
      <c r="F716" s="6"/>
      <c r="G716" s="7"/>
      <c r="H716" s="8"/>
      <c r="I716" s="5"/>
      <c r="J716" s="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x14ac:dyDescent="0.45">
      <c r="A717" s="2"/>
      <c r="B717" s="2"/>
      <c r="C717" s="3"/>
      <c r="D717" s="4"/>
      <c r="E717" s="5"/>
      <c r="F717" s="6"/>
      <c r="G717" s="7"/>
      <c r="H717" s="8"/>
      <c r="I717" s="5"/>
      <c r="J717" s="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x14ac:dyDescent="0.45">
      <c r="A718" s="2"/>
      <c r="B718" s="2"/>
      <c r="C718" s="3"/>
      <c r="D718" s="4"/>
      <c r="E718" s="5"/>
      <c r="F718" s="6"/>
      <c r="G718" s="7"/>
      <c r="H718" s="8"/>
      <c r="I718" s="5"/>
      <c r="J718" s="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x14ac:dyDescent="0.45">
      <c r="A719" s="2"/>
      <c r="B719" s="2"/>
      <c r="C719" s="3"/>
      <c r="D719" s="4"/>
      <c r="E719" s="5"/>
      <c r="F719" s="6"/>
      <c r="G719" s="7"/>
      <c r="H719" s="8"/>
      <c r="I719" s="5"/>
      <c r="J719" s="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x14ac:dyDescent="0.45">
      <c r="A720" s="2"/>
      <c r="B720" s="2"/>
      <c r="C720" s="3"/>
      <c r="D720" s="4"/>
      <c r="E720" s="5"/>
      <c r="F720" s="6"/>
      <c r="G720" s="7"/>
      <c r="H720" s="8"/>
      <c r="I720" s="5"/>
      <c r="J720" s="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x14ac:dyDescent="0.45">
      <c r="A721" s="2"/>
      <c r="B721" s="2"/>
      <c r="C721" s="3"/>
      <c r="D721" s="4"/>
      <c r="E721" s="5"/>
      <c r="F721" s="6"/>
      <c r="G721" s="7"/>
      <c r="H721" s="8"/>
      <c r="I721" s="5"/>
      <c r="J721" s="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x14ac:dyDescent="0.45">
      <c r="A722" s="2"/>
      <c r="B722" s="2"/>
      <c r="C722" s="3"/>
      <c r="D722" s="4"/>
      <c r="E722" s="5"/>
      <c r="F722" s="6"/>
      <c r="G722" s="7"/>
      <c r="H722" s="8"/>
      <c r="I722" s="5"/>
      <c r="J722" s="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x14ac:dyDescent="0.45">
      <c r="A723" s="2"/>
      <c r="B723" s="2"/>
      <c r="C723" s="3"/>
      <c r="D723" s="4"/>
      <c r="E723" s="5"/>
      <c r="F723" s="6"/>
      <c r="G723" s="7"/>
      <c r="H723" s="8"/>
      <c r="I723" s="5"/>
      <c r="J723" s="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x14ac:dyDescent="0.45">
      <c r="A724" s="2"/>
      <c r="B724" s="2"/>
      <c r="C724" s="3"/>
      <c r="D724" s="4"/>
      <c r="E724" s="5"/>
      <c r="F724" s="6"/>
      <c r="G724" s="7"/>
      <c r="H724" s="8"/>
      <c r="I724" s="5"/>
      <c r="J724" s="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x14ac:dyDescent="0.45">
      <c r="A725" s="2"/>
      <c r="B725" s="2"/>
      <c r="C725" s="3"/>
      <c r="D725" s="4"/>
      <c r="E725" s="5"/>
      <c r="F725" s="6"/>
      <c r="G725" s="7"/>
      <c r="H725" s="8"/>
      <c r="I725" s="5"/>
      <c r="J725" s="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x14ac:dyDescent="0.45">
      <c r="A726" s="2"/>
      <c r="B726" s="2"/>
      <c r="C726" s="3"/>
      <c r="D726" s="4"/>
      <c r="E726" s="5"/>
      <c r="F726" s="6"/>
      <c r="G726" s="7"/>
      <c r="H726" s="8"/>
      <c r="I726" s="5"/>
      <c r="J726" s="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x14ac:dyDescent="0.45">
      <c r="A727" s="2"/>
      <c r="B727" s="2"/>
      <c r="C727" s="3"/>
      <c r="D727" s="4"/>
      <c r="E727" s="5"/>
      <c r="F727" s="6"/>
      <c r="G727" s="7"/>
      <c r="H727" s="8"/>
      <c r="I727" s="5"/>
      <c r="J727" s="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x14ac:dyDescent="0.45">
      <c r="A728" s="2"/>
      <c r="B728" s="2"/>
      <c r="C728" s="3"/>
      <c r="D728" s="4"/>
      <c r="E728" s="5"/>
      <c r="F728" s="6"/>
      <c r="G728" s="7"/>
      <c r="H728" s="8"/>
      <c r="I728" s="5"/>
      <c r="J728" s="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x14ac:dyDescent="0.45">
      <c r="A729" s="2"/>
      <c r="B729" s="2"/>
      <c r="C729" s="3"/>
      <c r="D729" s="4"/>
      <c r="E729" s="5"/>
      <c r="F729" s="6"/>
      <c r="G729" s="7"/>
      <c r="H729" s="8"/>
      <c r="I729" s="5"/>
      <c r="J729" s="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x14ac:dyDescent="0.45">
      <c r="A730" s="2"/>
      <c r="B730" s="2"/>
      <c r="C730" s="3"/>
      <c r="D730" s="4"/>
      <c r="E730" s="5"/>
      <c r="F730" s="6"/>
      <c r="G730" s="7"/>
      <c r="H730" s="8"/>
      <c r="I730" s="5"/>
      <c r="J730" s="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x14ac:dyDescent="0.45">
      <c r="A731" s="2"/>
      <c r="B731" s="2"/>
      <c r="C731" s="3"/>
      <c r="D731" s="4"/>
      <c r="E731" s="5"/>
      <c r="F731" s="6"/>
      <c r="G731" s="7"/>
      <c r="H731" s="8"/>
      <c r="I731" s="5"/>
      <c r="J731" s="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x14ac:dyDescent="0.45">
      <c r="A732" s="2"/>
      <c r="B732" s="2"/>
      <c r="C732" s="3"/>
      <c r="D732" s="4"/>
      <c r="E732" s="5"/>
      <c r="F732" s="6"/>
      <c r="G732" s="7"/>
      <c r="H732" s="8"/>
      <c r="I732" s="5"/>
      <c r="J732" s="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x14ac:dyDescent="0.45">
      <c r="A733" s="2"/>
      <c r="B733" s="2"/>
      <c r="C733" s="3"/>
      <c r="D733" s="4"/>
      <c r="E733" s="5"/>
      <c r="F733" s="6"/>
      <c r="G733" s="7"/>
      <c r="H733" s="8"/>
      <c r="I733" s="5"/>
      <c r="J733" s="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x14ac:dyDescent="0.45">
      <c r="A734" s="2"/>
      <c r="B734" s="2"/>
      <c r="C734" s="3"/>
      <c r="D734" s="4"/>
      <c r="E734" s="5"/>
      <c r="F734" s="6"/>
      <c r="G734" s="7"/>
      <c r="H734" s="8"/>
      <c r="I734" s="5"/>
      <c r="J734" s="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x14ac:dyDescent="0.45">
      <c r="A735" s="2"/>
      <c r="B735" s="2"/>
      <c r="C735" s="3"/>
      <c r="D735" s="4"/>
      <c r="E735" s="5"/>
      <c r="F735" s="6"/>
      <c r="G735" s="7"/>
      <c r="H735" s="8"/>
      <c r="I735" s="5"/>
      <c r="J735" s="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x14ac:dyDescent="0.45">
      <c r="A736" s="2"/>
      <c r="B736" s="2"/>
      <c r="C736" s="3"/>
      <c r="D736" s="4"/>
      <c r="E736" s="5"/>
      <c r="F736" s="6"/>
      <c r="G736" s="7"/>
      <c r="H736" s="8"/>
      <c r="I736" s="5"/>
      <c r="J736" s="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x14ac:dyDescent="0.45">
      <c r="A737" s="2"/>
      <c r="B737" s="2"/>
      <c r="C737" s="3"/>
      <c r="D737" s="4"/>
      <c r="E737" s="5"/>
      <c r="F737" s="6"/>
      <c r="G737" s="7"/>
      <c r="H737" s="8"/>
      <c r="I737" s="5"/>
      <c r="J737" s="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x14ac:dyDescent="0.45">
      <c r="A738" s="2"/>
      <c r="B738" s="2"/>
      <c r="C738" s="3"/>
      <c r="D738" s="4"/>
      <c r="E738" s="5"/>
      <c r="F738" s="6"/>
      <c r="G738" s="7"/>
      <c r="H738" s="8"/>
      <c r="I738" s="5"/>
      <c r="J738" s="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x14ac:dyDescent="0.45">
      <c r="A739" s="2"/>
      <c r="B739" s="2"/>
      <c r="C739" s="3"/>
      <c r="D739" s="4"/>
      <c r="E739" s="5"/>
      <c r="F739" s="6"/>
      <c r="G739" s="7"/>
      <c r="H739" s="8"/>
      <c r="I739" s="5"/>
      <c r="J739" s="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x14ac:dyDescent="0.45">
      <c r="A740" s="2"/>
      <c r="B740" s="2"/>
      <c r="C740" s="3"/>
      <c r="D740" s="4"/>
      <c r="E740" s="5"/>
      <c r="F740" s="6"/>
      <c r="G740" s="7"/>
      <c r="H740" s="8"/>
      <c r="I740" s="5"/>
      <c r="J740" s="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x14ac:dyDescent="0.45">
      <c r="A741" s="2"/>
      <c r="B741" s="2"/>
      <c r="C741" s="3"/>
      <c r="D741" s="4"/>
      <c r="E741" s="5"/>
      <c r="F741" s="6"/>
      <c r="G741" s="7"/>
      <c r="H741" s="8"/>
      <c r="I741" s="5"/>
      <c r="J741" s="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x14ac:dyDescent="0.45">
      <c r="A742" s="2"/>
      <c r="B742" s="2"/>
      <c r="C742" s="3"/>
      <c r="D742" s="4"/>
      <c r="E742" s="5"/>
      <c r="F742" s="6"/>
      <c r="G742" s="7"/>
      <c r="H742" s="8"/>
      <c r="I742" s="5"/>
      <c r="J742" s="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x14ac:dyDescent="0.45">
      <c r="A743" s="2"/>
      <c r="B743" s="2"/>
      <c r="C743" s="3"/>
      <c r="D743" s="4"/>
      <c r="E743" s="5"/>
      <c r="F743" s="6"/>
      <c r="G743" s="7"/>
      <c r="H743" s="8"/>
      <c r="I743" s="5"/>
      <c r="J743" s="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x14ac:dyDescent="0.45">
      <c r="A744" s="2"/>
      <c r="B744" s="2"/>
      <c r="C744" s="3"/>
      <c r="D744" s="4"/>
      <c r="E744" s="5"/>
      <c r="F744" s="6"/>
      <c r="G744" s="7"/>
      <c r="H744" s="8"/>
      <c r="I744" s="5"/>
      <c r="J744" s="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x14ac:dyDescent="0.45">
      <c r="A745" s="2"/>
      <c r="B745" s="2"/>
      <c r="C745" s="3"/>
      <c r="D745" s="4"/>
      <c r="E745" s="5"/>
      <c r="F745" s="6"/>
      <c r="G745" s="7"/>
      <c r="H745" s="8"/>
      <c r="I745" s="5"/>
      <c r="J745" s="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x14ac:dyDescent="0.45">
      <c r="A746" s="2"/>
      <c r="B746" s="2"/>
      <c r="C746" s="3"/>
      <c r="D746" s="4"/>
      <c r="E746" s="5"/>
      <c r="F746" s="6"/>
      <c r="G746" s="7"/>
      <c r="H746" s="8"/>
      <c r="I746" s="5"/>
      <c r="J746" s="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x14ac:dyDescent="0.45">
      <c r="A747" s="2"/>
      <c r="B747" s="2"/>
      <c r="C747" s="3"/>
      <c r="D747" s="4"/>
      <c r="E747" s="5"/>
      <c r="F747" s="6"/>
      <c r="G747" s="7"/>
      <c r="H747" s="8"/>
      <c r="I747" s="5"/>
      <c r="J747" s="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x14ac:dyDescent="0.45">
      <c r="A748" s="2"/>
      <c r="B748" s="2"/>
      <c r="C748" s="3"/>
      <c r="D748" s="4"/>
      <c r="E748" s="5"/>
      <c r="F748" s="6"/>
      <c r="G748" s="7"/>
      <c r="H748" s="8"/>
      <c r="I748" s="5"/>
      <c r="J748" s="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x14ac:dyDescent="0.45">
      <c r="A749" s="2"/>
      <c r="B749" s="2"/>
      <c r="C749" s="3"/>
      <c r="D749" s="4"/>
      <c r="E749" s="5"/>
      <c r="F749" s="6"/>
      <c r="G749" s="7"/>
      <c r="H749" s="8"/>
      <c r="I749" s="5"/>
      <c r="J749" s="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x14ac:dyDescent="0.45">
      <c r="A750" s="2"/>
      <c r="B750" s="2"/>
      <c r="C750" s="3"/>
      <c r="D750" s="4"/>
      <c r="E750" s="5"/>
      <c r="F750" s="6"/>
      <c r="G750" s="7"/>
      <c r="H750" s="8"/>
      <c r="I750" s="5"/>
      <c r="J750" s="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x14ac:dyDescent="0.45">
      <c r="A751" s="2"/>
      <c r="B751" s="2"/>
      <c r="C751" s="3"/>
      <c r="D751" s="4"/>
      <c r="E751" s="5"/>
      <c r="F751" s="6"/>
      <c r="G751" s="7"/>
      <c r="H751" s="8"/>
      <c r="I751" s="5"/>
      <c r="J751" s="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x14ac:dyDescent="0.45">
      <c r="A752" s="2"/>
      <c r="B752" s="2"/>
      <c r="C752" s="3"/>
      <c r="D752" s="4"/>
      <c r="E752" s="5"/>
      <c r="F752" s="6"/>
      <c r="G752" s="7"/>
      <c r="H752" s="8"/>
      <c r="I752" s="5"/>
      <c r="J752" s="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x14ac:dyDescent="0.45">
      <c r="A753" s="2"/>
      <c r="B753" s="2"/>
      <c r="C753" s="3"/>
      <c r="D753" s="4"/>
      <c r="E753" s="5"/>
      <c r="F753" s="6"/>
      <c r="G753" s="7"/>
      <c r="H753" s="8"/>
      <c r="I753" s="5"/>
      <c r="J753" s="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x14ac:dyDescent="0.45">
      <c r="A754" s="2"/>
      <c r="B754" s="2"/>
      <c r="C754" s="3"/>
      <c r="D754" s="4"/>
      <c r="E754" s="5"/>
      <c r="F754" s="6"/>
      <c r="G754" s="7"/>
      <c r="H754" s="8"/>
      <c r="I754" s="5"/>
      <c r="J754" s="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x14ac:dyDescent="0.45">
      <c r="A755" s="2"/>
      <c r="B755" s="2"/>
      <c r="C755" s="3"/>
      <c r="D755" s="4"/>
      <c r="E755" s="5"/>
      <c r="F755" s="6"/>
      <c r="G755" s="7"/>
      <c r="H755" s="8"/>
      <c r="I755" s="5"/>
      <c r="J755" s="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x14ac:dyDescent="0.45">
      <c r="A756" s="2"/>
      <c r="B756" s="2"/>
      <c r="C756" s="3"/>
      <c r="D756" s="4"/>
      <c r="E756" s="5"/>
      <c r="F756" s="6"/>
      <c r="G756" s="7"/>
      <c r="H756" s="8"/>
      <c r="I756" s="5"/>
      <c r="J756" s="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x14ac:dyDescent="0.45">
      <c r="A757" s="2"/>
      <c r="B757" s="2"/>
      <c r="C757" s="3"/>
      <c r="D757" s="4"/>
      <c r="E757" s="5"/>
      <c r="F757" s="6"/>
      <c r="G757" s="7"/>
      <c r="H757" s="8"/>
      <c r="I757" s="5"/>
      <c r="J757" s="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x14ac:dyDescent="0.45">
      <c r="A758" s="2"/>
      <c r="B758" s="2"/>
      <c r="C758" s="3"/>
      <c r="D758" s="4"/>
      <c r="E758" s="5"/>
      <c r="F758" s="6"/>
      <c r="G758" s="7"/>
      <c r="H758" s="8"/>
      <c r="I758" s="5"/>
      <c r="J758" s="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x14ac:dyDescent="0.45">
      <c r="A759" s="2"/>
      <c r="B759" s="2"/>
      <c r="C759" s="3"/>
      <c r="D759" s="4"/>
      <c r="E759" s="5"/>
      <c r="F759" s="6"/>
      <c r="G759" s="7"/>
      <c r="H759" s="8"/>
      <c r="I759" s="5"/>
      <c r="J759" s="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x14ac:dyDescent="0.45">
      <c r="A760" s="2"/>
      <c r="B760" s="2"/>
      <c r="C760" s="3"/>
      <c r="D760" s="4"/>
      <c r="E760" s="5"/>
      <c r="F760" s="6"/>
      <c r="G760" s="7"/>
      <c r="H760" s="8"/>
      <c r="I760" s="5"/>
      <c r="J760" s="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x14ac:dyDescent="0.45">
      <c r="A761" s="2"/>
      <c r="B761" s="2"/>
      <c r="C761" s="3"/>
      <c r="D761" s="4"/>
      <c r="E761" s="5"/>
      <c r="F761" s="6"/>
      <c r="G761" s="7"/>
      <c r="H761" s="8"/>
      <c r="I761" s="5"/>
      <c r="J761" s="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x14ac:dyDescent="0.45">
      <c r="A762" s="2"/>
      <c r="B762" s="2"/>
      <c r="C762" s="3"/>
      <c r="D762" s="4"/>
      <c r="E762" s="5"/>
      <c r="F762" s="6"/>
      <c r="G762" s="7"/>
      <c r="H762" s="8"/>
      <c r="I762" s="5"/>
      <c r="J762" s="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x14ac:dyDescent="0.45">
      <c r="A763" s="2"/>
      <c r="B763" s="2"/>
      <c r="C763" s="3"/>
      <c r="D763" s="4"/>
      <c r="E763" s="5"/>
      <c r="F763" s="6"/>
      <c r="G763" s="7"/>
      <c r="H763" s="8"/>
      <c r="I763" s="5"/>
      <c r="J763" s="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x14ac:dyDescent="0.45">
      <c r="A764" s="2"/>
      <c r="B764" s="2"/>
      <c r="C764" s="3"/>
      <c r="D764" s="4"/>
      <c r="E764" s="5"/>
      <c r="F764" s="6"/>
      <c r="G764" s="7"/>
      <c r="H764" s="8"/>
      <c r="I764" s="5"/>
      <c r="J764" s="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x14ac:dyDescent="0.45">
      <c r="A765" s="2"/>
      <c r="B765" s="2"/>
      <c r="C765" s="3"/>
      <c r="D765" s="4"/>
      <c r="E765" s="5"/>
      <c r="F765" s="6"/>
      <c r="G765" s="7"/>
      <c r="H765" s="8"/>
      <c r="I765" s="5"/>
      <c r="J765" s="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x14ac:dyDescent="0.45">
      <c r="A766" s="2"/>
      <c r="B766" s="2"/>
      <c r="C766" s="3"/>
      <c r="D766" s="4"/>
      <c r="E766" s="5"/>
      <c r="F766" s="6"/>
      <c r="G766" s="7"/>
      <c r="H766" s="8"/>
      <c r="I766" s="5"/>
      <c r="J766" s="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x14ac:dyDescent="0.45">
      <c r="A767" s="2"/>
      <c r="B767" s="2"/>
      <c r="C767" s="3"/>
      <c r="D767" s="4"/>
      <c r="E767" s="5"/>
      <c r="F767" s="6"/>
      <c r="G767" s="7"/>
      <c r="H767" s="8"/>
      <c r="I767" s="5"/>
      <c r="J767" s="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x14ac:dyDescent="0.45">
      <c r="A768" s="2"/>
      <c r="B768" s="2"/>
      <c r="C768" s="3"/>
      <c r="D768" s="4"/>
      <c r="E768" s="5"/>
      <c r="F768" s="6"/>
      <c r="G768" s="7"/>
      <c r="H768" s="8"/>
      <c r="I768" s="5"/>
      <c r="J768" s="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x14ac:dyDescent="0.45">
      <c r="A769" s="2"/>
      <c r="B769" s="2"/>
      <c r="C769" s="3"/>
      <c r="D769" s="4"/>
      <c r="E769" s="5"/>
      <c r="F769" s="6"/>
      <c r="G769" s="7"/>
      <c r="H769" s="8"/>
      <c r="I769" s="5"/>
      <c r="J769" s="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x14ac:dyDescent="0.45">
      <c r="A770" s="2"/>
      <c r="B770" s="2"/>
      <c r="C770" s="3"/>
      <c r="D770" s="4"/>
      <c r="E770" s="5"/>
      <c r="F770" s="6"/>
      <c r="G770" s="7"/>
      <c r="H770" s="8"/>
      <c r="I770" s="5"/>
      <c r="J770" s="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x14ac:dyDescent="0.45">
      <c r="A771" s="2"/>
      <c r="B771" s="2"/>
      <c r="C771" s="3"/>
      <c r="D771" s="4"/>
      <c r="E771" s="5"/>
      <c r="F771" s="6"/>
      <c r="G771" s="7"/>
      <c r="H771" s="8"/>
      <c r="I771" s="5"/>
      <c r="J771" s="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x14ac:dyDescent="0.45">
      <c r="A772" s="2"/>
      <c r="B772" s="2"/>
      <c r="C772" s="3"/>
      <c r="D772" s="4"/>
      <c r="E772" s="5"/>
      <c r="F772" s="6"/>
      <c r="G772" s="7"/>
      <c r="H772" s="8"/>
      <c r="I772" s="5"/>
      <c r="J772" s="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x14ac:dyDescent="0.45">
      <c r="A773" s="2"/>
      <c r="B773" s="2"/>
      <c r="C773" s="3"/>
      <c r="D773" s="4"/>
      <c r="E773" s="5"/>
      <c r="F773" s="6"/>
      <c r="G773" s="7"/>
      <c r="H773" s="8"/>
      <c r="I773" s="5"/>
      <c r="J773" s="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x14ac:dyDescent="0.45">
      <c r="A774" s="2"/>
      <c r="B774" s="2"/>
      <c r="C774" s="3"/>
      <c r="D774" s="4"/>
      <c r="E774" s="5"/>
      <c r="F774" s="6"/>
      <c r="G774" s="7"/>
      <c r="H774" s="8"/>
      <c r="I774" s="5"/>
      <c r="J774" s="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x14ac:dyDescent="0.45">
      <c r="A775" s="2"/>
      <c r="B775" s="2"/>
      <c r="C775" s="3"/>
      <c r="D775" s="4"/>
      <c r="E775" s="5"/>
      <c r="F775" s="6"/>
      <c r="G775" s="7"/>
      <c r="H775" s="8"/>
      <c r="I775" s="5"/>
      <c r="J775" s="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x14ac:dyDescent="0.45">
      <c r="A776" s="2"/>
      <c r="B776" s="2"/>
      <c r="C776" s="3"/>
      <c r="D776" s="4"/>
      <c r="E776" s="5"/>
      <c r="F776" s="6"/>
      <c r="G776" s="7"/>
      <c r="H776" s="8"/>
      <c r="I776" s="5"/>
      <c r="J776" s="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x14ac:dyDescent="0.45">
      <c r="A777" s="2"/>
      <c r="B777" s="2"/>
      <c r="C777" s="3"/>
      <c r="D777" s="4"/>
      <c r="E777" s="5"/>
      <c r="F777" s="6"/>
      <c r="G777" s="7"/>
      <c r="H777" s="8"/>
      <c r="I777" s="5"/>
      <c r="J777" s="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x14ac:dyDescent="0.45">
      <c r="A778" s="2"/>
      <c r="B778" s="2"/>
      <c r="C778" s="3"/>
      <c r="D778" s="4"/>
      <c r="E778" s="5"/>
      <c r="F778" s="6"/>
      <c r="G778" s="7"/>
      <c r="H778" s="8"/>
      <c r="I778" s="5"/>
      <c r="J778" s="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x14ac:dyDescent="0.45">
      <c r="A779" s="2"/>
      <c r="B779" s="2"/>
      <c r="C779" s="3"/>
      <c r="D779" s="4"/>
      <c r="E779" s="5"/>
      <c r="F779" s="6"/>
      <c r="G779" s="7"/>
      <c r="H779" s="8"/>
      <c r="I779" s="5"/>
      <c r="J779" s="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x14ac:dyDescent="0.45">
      <c r="A780" s="2"/>
      <c r="B780" s="2"/>
      <c r="C780" s="3"/>
      <c r="D780" s="4"/>
      <c r="E780" s="5"/>
      <c r="F780" s="6"/>
      <c r="G780" s="7"/>
      <c r="H780" s="8"/>
      <c r="I780" s="5"/>
      <c r="J780" s="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x14ac:dyDescent="0.45">
      <c r="A781" s="2"/>
      <c r="B781" s="2"/>
      <c r="C781" s="3"/>
      <c r="D781" s="4"/>
      <c r="E781" s="5"/>
      <c r="F781" s="6"/>
      <c r="G781" s="7"/>
      <c r="H781" s="8"/>
      <c r="I781" s="5"/>
      <c r="J781" s="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x14ac:dyDescent="0.45">
      <c r="A782" s="2"/>
      <c r="B782" s="2"/>
      <c r="C782" s="3"/>
      <c r="D782" s="4"/>
      <c r="E782" s="5"/>
      <c r="F782" s="6"/>
      <c r="G782" s="7"/>
      <c r="H782" s="8"/>
      <c r="I782" s="5"/>
      <c r="J782" s="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x14ac:dyDescent="0.45">
      <c r="A783" s="2"/>
      <c r="B783" s="2"/>
      <c r="C783" s="3"/>
      <c r="D783" s="4"/>
      <c r="E783" s="5"/>
      <c r="F783" s="6"/>
      <c r="G783" s="7"/>
      <c r="H783" s="8"/>
      <c r="I783" s="5"/>
      <c r="J783" s="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x14ac:dyDescent="0.45">
      <c r="A784" s="2"/>
      <c r="B784" s="2"/>
      <c r="C784" s="3"/>
      <c r="D784" s="4"/>
      <c r="E784" s="5"/>
      <c r="F784" s="6"/>
      <c r="G784" s="7"/>
      <c r="H784" s="8"/>
      <c r="I784" s="5"/>
      <c r="J784" s="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x14ac:dyDescent="0.45">
      <c r="A785" s="2"/>
      <c r="B785" s="2"/>
      <c r="C785" s="3"/>
      <c r="D785" s="4"/>
      <c r="E785" s="5"/>
      <c r="F785" s="6"/>
      <c r="G785" s="7"/>
      <c r="H785" s="8"/>
      <c r="I785" s="5"/>
      <c r="J785" s="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x14ac:dyDescent="0.45">
      <c r="A786" s="2"/>
      <c r="B786" s="2"/>
      <c r="C786" s="3"/>
      <c r="D786" s="4"/>
      <c r="E786" s="5"/>
      <c r="F786" s="6"/>
      <c r="G786" s="7"/>
      <c r="H786" s="8"/>
      <c r="I786" s="5"/>
      <c r="J786" s="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x14ac:dyDescent="0.45">
      <c r="A787" s="2"/>
      <c r="B787" s="2"/>
      <c r="C787" s="3"/>
      <c r="D787" s="4"/>
      <c r="E787" s="5"/>
      <c r="F787" s="6"/>
      <c r="G787" s="7"/>
      <c r="H787" s="8"/>
      <c r="I787" s="5"/>
      <c r="J787" s="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x14ac:dyDescent="0.45">
      <c r="A788" s="2"/>
      <c r="B788" s="2"/>
      <c r="C788" s="3"/>
      <c r="D788" s="4"/>
      <c r="E788" s="5"/>
      <c r="F788" s="6"/>
      <c r="G788" s="7"/>
      <c r="H788" s="8"/>
      <c r="I788" s="5"/>
      <c r="J788" s="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x14ac:dyDescent="0.45">
      <c r="A789" s="2"/>
      <c r="B789" s="2"/>
      <c r="C789" s="3"/>
      <c r="D789" s="4"/>
      <c r="E789" s="5"/>
      <c r="F789" s="6"/>
      <c r="G789" s="7"/>
      <c r="H789" s="8"/>
      <c r="I789" s="5"/>
      <c r="J789" s="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x14ac:dyDescent="0.45">
      <c r="A790" s="2"/>
      <c r="B790" s="2"/>
      <c r="C790" s="3"/>
      <c r="D790" s="4"/>
      <c r="E790" s="5"/>
      <c r="F790" s="6"/>
      <c r="G790" s="7"/>
      <c r="H790" s="8"/>
      <c r="I790" s="5"/>
      <c r="J790" s="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x14ac:dyDescent="0.45">
      <c r="A791" s="2"/>
      <c r="B791" s="2"/>
      <c r="C791" s="3"/>
      <c r="D791" s="4"/>
      <c r="E791" s="5"/>
      <c r="F791" s="6"/>
      <c r="G791" s="7"/>
      <c r="H791" s="8"/>
      <c r="I791" s="5"/>
      <c r="J791" s="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x14ac:dyDescent="0.45">
      <c r="A792" s="2"/>
      <c r="B792" s="2"/>
      <c r="C792" s="3"/>
      <c r="D792" s="4"/>
      <c r="E792" s="5"/>
      <c r="F792" s="6"/>
      <c r="G792" s="7"/>
      <c r="H792" s="8"/>
      <c r="I792" s="5"/>
      <c r="J792" s="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x14ac:dyDescent="0.45">
      <c r="A793" s="2"/>
      <c r="B793" s="2"/>
      <c r="C793" s="3"/>
      <c r="D793" s="4"/>
      <c r="E793" s="5"/>
      <c r="F793" s="6"/>
      <c r="G793" s="7"/>
      <c r="H793" s="8"/>
      <c r="I793" s="5"/>
      <c r="J793" s="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x14ac:dyDescent="0.45">
      <c r="A794" s="2"/>
      <c r="B794" s="2"/>
      <c r="C794" s="3"/>
      <c r="D794" s="4"/>
      <c r="E794" s="5"/>
      <c r="F794" s="6"/>
      <c r="G794" s="7"/>
      <c r="H794" s="8"/>
      <c r="I794" s="5"/>
      <c r="J794" s="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x14ac:dyDescent="0.45">
      <c r="A795" s="2"/>
      <c r="B795" s="2"/>
      <c r="C795" s="3"/>
      <c r="D795" s="4"/>
      <c r="E795" s="5"/>
      <c r="F795" s="6"/>
      <c r="G795" s="7"/>
      <c r="H795" s="8"/>
      <c r="I795" s="5"/>
      <c r="J795" s="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x14ac:dyDescent="0.45">
      <c r="A796" s="2"/>
      <c r="B796" s="2"/>
      <c r="C796" s="3"/>
      <c r="D796" s="4"/>
      <c r="E796" s="5"/>
      <c r="F796" s="6"/>
      <c r="G796" s="7"/>
      <c r="H796" s="8"/>
      <c r="I796" s="5"/>
      <c r="J796" s="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x14ac:dyDescent="0.45">
      <c r="A797" s="2"/>
      <c r="B797" s="2"/>
      <c r="C797" s="3"/>
      <c r="D797" s="4"/>
      <c r="E797" s="5"/>
      <c r="F797" s="6"/>
      <c r="G797" s="7"/>
      <c r="H797" s="8"/>
      <c r="I797" s="5"/>
      <c r="J797" s="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x14ac:dyDescent="0.45">
      <c r="A798" s="2"/>
      <c r="B798" s="2"/>
      <c r="C798" s="3"/>
      <c r="D798" s="4"/>
      <c r="E798" s="5"/>
      <c r="F798" s="6"/>
      <c r="G798" s="7"/>
      <c r="H798" s="8"/>
      <c r="I798" s="5"/>
      <c r="J798" s="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x14ac:dyDescent="0.45">
      <c r="A799" s="2"/>
      <c r="B799" s="2"/>
      <c r="C799" s="3"/>
      <c r="D799" s="4"/>
      <c r="E799" s="5"/>
      <c r="F799" s="6"/>
      <c r="G799" s="7"/>
      <c r="H799" s="8"/>
      <c r="I799" s="5"/>
      <c r="J799" s="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x14ac:dyDescent="0.45">
      <c r="A800" s="2"/>
      <c r="B800" s="2"/>
      <c r="C800" s="3"/>
      <c r="D800" s="4"/>
      <c r="E800" s="5"/>
      <c r="F800" s="6"/>
      <c r="G800" s="7"/>
      <c r="H800" s="8"/>
      <c r="I800" s="5"/>
      <c r="J800" s="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x14ac:dyDescent="0.45">
      <c r="A801" s="2"/>
      <c r="B801" s="2"/>
      <c r="C801" s="3"/>
      <c r="D801" s="4"/>
      <c r="E801" s="5"/>
      <c r="F801" s="6"/>
      <c r="G801" s="7"/>
      <c r="H801" s="8"/>
      <c r="I801" s="5"/>
      <c r="J801" s="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x14ac:dyDescent="0.45">
      <c r="A802" s="2"/>
      <c r="B802" s="2"/>
      <c r="C802" s="3"/>
      <c r="D802" s="4"/>
      <c r="E802" s="5"/>
      <c r="F802" s="6"/>
      <c r="G802" s="7"/>
      <c r="H802" s="8"/>
      <c r="I802" s="5"/>
      <c r="J802" s="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x14ac:dyDescent="0.45">
      <c r="A803" s="2"/>
      <c r="B803" s="2"/>
      <c r="C803" s="3"/>
      <c r="D803" s="4"/>
      <c r="E803" s="5"/>
      <c r="F803" s="6"/>
      <c r="G803" s="7"/>
      <c r="H803" s="8"/>
      <c r="I803" s="5"/>
      <c r="J803" s="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x14ac:dyDescent="0.45">
      <c r="A804" s="2"/>
      <c r="B804" s="2"/>
      <c r="C804" s="3"/>
      <c r="D804" s="4"/>
      <c r="E804" s="5"/>
      <c r="F804" s="6"/>
      <c r="G804" s="7"/>
      <c r="H804" s="8"/>
      <c r="I804" s="5"/>
      <c r="J804" s="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x14ac:dyDescent="0.45">
      <c r="A805" s="2"/>
      <c r="B805" s="2"/>
      <c r="C805" s="3"/>
      <c r="D805" s="4"/>
      <c r="E805" s="5"/>
      <c r="F805" s="6"/>
      <c r="G805" s="7"/>
      <c r="H805" s="8"/>
      <c r="I805" s="5"/>
      <c r="J805" s="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x14ac:dyDescent="0.45">
      <c r="A806" s="2"/>
      <c r="B806" s="2"/>
      <c r="C806" s="3"/>
      <c r="D806" s="4"/>
      <c r="E806" s="5"/>
      <c r="F806" s="6"/>
      <c r="G806" s="7"/>
      <c r="H806" s="8"/>
      <c r="I806" s="5"/>
      <c r="J806" s="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x14ac:dyDescent="0.45">
      <c r="A807" s="2"/>
      <c r="B807" s="2"/>
      <c r="C807" s="3"/>
      <c r="D807" s="4"/>
      <c r="E807" s="5"/>
      <c r="F807" s="6"/>
      <c r="G807" s="7"/>
      <c r="H807" s="8"/>
      <c r="I807" s="5"/>
      <c r="J807" s="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x14ac:dyDescent="0.45">
      <c r="A808" s="2"/>
      <c r="B808" s="2"/>
      <c r="C808" s="3"/>
      <c r="D808" s="4"/>
      <c r="E808" s="5"/>
      <c r="F808" s="6"/>
      <c r="G808" s="7"/>
      <c r="H808" s="8"/>
      <c r="I808" s="5"/>
      <c r="J808" s="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x14ac:dyDescent="0.45">
      <c r="A809" s="2"/>
      <c r="B809" s="2"/>
      <c r="C809" s="3"/>
      <c r="D809" s="4"/>
      <c r="E809" s="5"/>
      <c r="F809" s="6"/>
      <c r="G809" s="7"/>
      <c r="H809" s="8"/>
      <c r="I809" s="5"/>
      <c r="J809" s="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x14ac:dyDescent="0.45">
      <c r="A810" s="2"/>
      <c r="B810" s="2"/>
      <c r="C810" s="3"/>
      <c r="D810" s="4"/>
      <c r="E810" s="5"/>
      <c r="F810" s="6"/>
      <c r="G810" s="7"/>
      <c r="H810" s="8"/>
      <c r="I810" s="5"/>
      <c r="J810" s="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x14ac:dyDescent="0.45">
      <c r="A811" s="2"/>
      <c r="B811" s="2"/>
      <c r="C811" s="3"/>
      <c r="D811" s="4"/>
      <c r="E811" s="5"/>
      <c r="F811" s="6"/>
      <c r="G811" s="7"/>
      <c r="H811" s="8"/>
      <c r="I811" s="5"/>
      <c r="J811" s="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x14ac:dyDescent="0.45">
      <c r="A812" s="2"/>
      <c r="B812" s="2"/>
      <c r="C812" s="3"/>
      <c r="D812" s="4"/>
      <c r="E812" s="5"/>
      <c r="F812" s="6"/>
      <c r="G812" s="7"/>
      <c r="H812" s="8"/>
      <c r="I812" s="5"/>
      <c r="J812" s="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x14ac:dyDescent="0.45">
      <c r="A813" s="2"/>
      <c r="B813" s="2"/>
      <c r="C813" s="3"/>
      <c r="D813" s="4"/>
      <c r="E813" s="5"/>
      <c r="F813" s="6"/>
      <c r="G813" s="7"/>
      <c r="H813" s="8"/>
      <c r="I813" s="5"/>
      <c r="J813" s="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x14ac:dyDescent="0.45">
      <c r="A814" s="2"/>
      <c r="B814" s="2"/>
      <c r="C814" s="3"/>
      <c r="D814" s="4"/>
      <c r="E814" s="5"/>
      <c r="F814" s="6"/>
      <c r="G814" s="7"/>
      <c r="H814" s="8"/>
      <c r="I814" s="5"/>
      <c r="J814" s="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x14ac:dyDescent="0.45">
      <c r="A815" s="2"/>
      <c r="B815" s="2"/>
      <c r="C815" s="3"/>
      <c r="D815" s="4"/>
      <c r="E815" s="5"/>
      <c r="F815" s="6"/>
      <c r="G815" s="7"/>
      <c r="H815" s="8"/>
      <c r="I815" s="5"/>
      <c r="J815" s="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x14ac:dyDescent="0.45">
      <c r="A816" s="2"/>
      <c r="B816" s="2"/>
      <c r="C816" s="3"/>
      <c r="D816" s="4"/>
      <c r="E816" s="5"/>
      <c r="F816" s="6"/>
      <c r="G816" s="7"/>
      <c r="H816" s="8"/>
      <c r="I816" s="5"/>
      <c r="J816" s="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x14ac:dyDescent="0.45">
      <c r="A817" s="2"/>
      <c r="B817" s="2"/>
      <c r="C817" s="3"/>
      <c r="D817" s="4"/>
      <c r="E817" s="5"/>
      <c r="F817" s="6"/>
      <c r="G817" s="7"/>
      <c r="H817" s="8"/>
      <c r="I817" s="5"/>
      <c r="J817" s="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x14ac:dyDescent="0.45">
      <c r="A818" s="2"/>
      <c r="B818" s="2"/>
      <c r="C818" s="3"/>
      <c r="D818" s="4"/>
      <c r="E818" s="5"/>
      <c r="F818" s="6"/>
      <c r="G818" s="7"/>
      <c r="H818" s="8"/>
      <c r="I818" s="5"/>
      <c r="J818" s="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x14ac:dyDescent="0.45">
      <c r="A819" s="2"/>
      <c r="B819" s="2"/>
      <c r="C819" s="3"/>
      <c r="D819" s="4"/>
      <c r="E819" s="5"/>
      <c r="F819" s="6"/>
      <c r="G819" s="7"/>
      <c r="H819" s="8"/>
      <c r="I819" s="5"/>
      <c r="J819" s="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x14ac:dyDescent="0.45">
      <c r="A820" s="2"/>
      <c r="B820" s="2"/>
      <c r="C820" s="3"/>
      <c r="D820" s="4"/>
      <c r="E820" s="5"/>
      <c r="F820" s="6"/>
      <c r="G820" s="7"/>
      <c r="H820" s="8"/>
      <c r="I820" s="5"/>
      <c r="J820" s="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x14ac:dyDescent="0.45">
      <c r="A821" s="2"/>
      <c r="B821" s="2"/>
      <c r="C821" s="3"/>
      <c r="D821" s="4"/>
      <c r="E821" s="5"/>
      <c r="F821" s="6"/>
      <c r="G821" s="7"/>
      <c r="H821" s="8"/>
      <c r="I821" s="5"/>
      <c r="J821" s="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x14ac:dyDescent="0.45">
      <c r="A822" s="2"/>
      <c r="B822" s="2"/>
      <c r="C822" s="3"/>
      <c r="D822" s="4"/>
      <c r="E822" s="5"/>
      <c r="F822" s="6"/>
      <c r="G822" s="7"/>
      <c r="H822" s="8"/>
      <c r="I822" s="5"/>
      <c r="J822" s="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x14ac:dyDescent="0.45">
      <c r="A823" s="2"/>
      <c r="B823" s="2"/>
      <c r="C823" s="3"/>
      <c r="D823" s="4"/>
      <c r="E823" s="5"/>
      <c r="F823" s="6"/>
      <c r="G823" s="7"/>
      <c r="H823" s="8"/>
      <c r="I823" s="5"/>
      <c r="J823" s="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x14ac:dyDescent="0.45">
      <c r="A824" s="2"/>
      <c r="B824" s="2"/>
      <c r="C824" s="3"/>
      <c r="D824" s="4"/>
      <c r="E824" s="5"/>
      <c r="F824" s="6"/>
      <c r="G824" s="7"/>
      <c r="H824" s="8"/>
      <c r="I824" s="5"/>
      <c r="J824" s="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x14ac:dyDescent="0.45">
      <c r="A825" s="2"/>
      <c r="B825" s="2"/>
      <c r="C825" s="3"/>
      <c r="D825" s="4"/>
      <c r="E825" s="5"/>
      <c r="F825" s="6"/>
      <c r="G825" s="7"/>
      <c r="H825" s="8"/>
      <c r="I825" s="5"/>
      <c r="J825" s="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x14ac:dyDescent="0.45">
      <c r="A826" s="2"/>
      <c r="B826" s="2"/>
      <c r="C826" s="3"/>
      <c r="D826" s="4"/>
      <c r="E826" s="5"/>
      <c r="F826" s="6"/>
      <c r="G826" s="7"/>
      <c r="H826" s="8"/>
      <c r="I826" s="5"/>
      <c r="J826" s="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x14ac:dyDescent="0.45">
      <c r="A827" s="2"/>
      <c r="B827" s="2"/>
      <c r="C827" s="3"/>
      <c r="D827" s="4"/>
      <c r="E827" s="5"/>
      <c r="F827" s="6"/>
      <c r="G827" s="7"/>
      <c r="H827" s="8"/>
      <c r="I827" s="5"/>
      <c r="J827" s="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x14ac:dyDescent="0.45">
      <c r="A828" s="2"/>
      <c r="B828" s="2"/>
      <c r="C828" s="3"/>
      <c r="D828" s="4"/>
      <c r="E828" s="5"/>
      <c r="F828" s="6"/>
      <c r="G828" s="7"/>
      <c r="H828" s="8"/>
      <c r="I828" s="5"/>
      <c r="J828" s="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x14ac:dyDescent="0.45">
      <c r="A829" s="2"/>
      <c r="B829" s="2"/>
      <c r="C829" s="3"/>
      <c r="D829" s="4"/>
      <c r="E829" s="5"/>
      <c r="F829" s="6"/>
      <c r="G829" s="7"/>
      <c r="H829" s="8"/>
      <c r="I829" s="5"/>
      <c r="J829" s="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x14ac:dyDescent="0.45">
      <c r="A830" s="2"/>
      <c r="B830" s="2"/>
      <c r="C830" s="3"/>
      <c r="D830" s="4"/>
      <c r="E830" s="5"/>
      <c r="F830" s="6"/>
      <c r="G830" s="7"/>
      <c r="H830" s="8"/>
      <c r="I830" s="5"/>
      <c r="J830" s="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x14ac:dyDescent="0.45">
      <c r="A831" s="2"/>
      <c r="B831" s="2"/>
      <c r="C831" s="3"/>
      <c r="D831" s="4"/>
      <c r="E831" s="5"/>
      <c r="F831" s="6"/>
      <c r="G831" s="7"/>
      <c r="H831" s="8"/>
      <c r="I831" s="5"/>
      <c r="J831" s="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x14ac:dyDescent="0.45">
      <c r="A832" s="2"/>
      <c r="B832" s="2"/>
      <c r="C832" s="3"/>
      <c r="D832" s="4"/>
      <c r="E832" s="5"/>
      <c r="F832" s="6"/>
      <c r="G832" s="7"/>
      <c r="H832" s="8"/>
      <c r="I832" s="5"/>
      <c r="J832" s="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x14ac:dyDescent="0.45">
      <c r="A833" s="2"/>
      <c r="B833" s="2"/>
      <c r="C833" s="3"/>
      <c r="D833" s="4"/>
      <c r="E833" s="5"/>
      <c r="F833" s="6"/>
      <c r="G833" s="7"/>
      <c r="H833" s="8"/>
      <c r="I833" s="5"/>
      <c r="J833" s="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x14ac:dyDescent="0.45">
      <c r="A834" s="2"/>
      <c r="B834" s="2"/>
      <c r="C834" s="3"/>
      <c r="D834" s="4"/>
      <c r="E834" s="5"/>
      <c r="F834" s="6"/>
      <c r="G834" s="7"/>
      <c r="H834" s="8"/>
      <c r="I834" s="5"/>
      <c r="J834" s="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x14ac:dyDescent="0.45">
      <c r="A835" s="2"/>
      <c r="B835" s="2"/>
      <c r="C835" s="3"/>
      <c r="D835" s="4"/>
      <c r="E835" s="5"/>
      <c r="F835" s="6"/>
      <c r="G835" s="7"/>
      <c r="H835" s="8"/>
      <c r="I835" s="5"/>
      <c r="J835" s="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x14ac:dyDescent="0.45">
      <c r="A836" s="2"/>
      <c r="B836" s="2"/>
      <c r="C836" s="3"/>
      <c r="D836" s="4"/>
      <c r="E836" s="5"/>
      <c r="F836" s="6"/>
      <c r="G836" s="7"/>
      <c r="H836" s="8"/>
      <c r="I836" s="5"/>
      <c r="J836" s="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x14ac:dyDescent="0.45">
      <c r="A837" s="2"/>
      <c r="B837" s="2"/>
      <c r="C837" s="3"/>
      <c r="D837" s="4"/>
      <c r="E837" s="5"/>
      <c r="F837" s="6"/>
      <c r="G837" s="7"/>
      <c r="H837" s="8"/>
      <c r="I837" s="5"/>
      <c r="J837" s="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x14ac:dyDescent="0.45">
      <c r="A838" s="2"/>
      <c r="B838" s="2"/>
      <c r="C838" s="3"/>
      <c r="D838" s="4"/>
      <c r="E838" s="5"/>
      <c r="F838" s="6"/>
      <c r="G838" s="7"/>
      <c r="H838" s="8"/>
      <c r="I838" s="5"/>
      <c r="J838" s="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x14ac:dyDescent="0.45">
      <c r="A839" s="2"/>
      <c r="B839" s="2"/>
      <c r="C839" s="3"/>
      <c r="D839" s="4"/>
      <c r="E839" s="5"/>
      <c r="F839" s="6"/>
      <c r="G839" s="7"/>
      <c r="H839" s="8"/>
      <c r="I839" s="5"/>
      <c r="J839" s="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x14ac:dyDescent="0.45">
      <c r="A840" s="2"/>
      <c r="B840" s="2"/>
      <c r="C840" s="3"/>
      <c r="D840" s="4"/>
      <c r="E840" s="5"/>
      <c r="F840" s="6"/>
      <c r="G840" s="7"/>
      <c r="H840" s="8"/>
      <c r="I840" s="5"/>
      <c r="J840" s="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x14ac:dyDescent="0.45">
      <c r="A841" s="2"/>
      <c r="B841" s="2"/>
      <c r="C841" s="3"/>
      <c r="D841" s="4"/>
      <c r="E841" s="5"/>
      <c r="F841" s="6"/>
      <c r="G841" s="7"/>
      <c r="H841" s="8"/>
      <c r="I841" s="5"/>
      <c r="J841" s="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x14ac:dyDescent="0.45">
      <c r="A842" s="2"/>
      <c r="B842" s="2"/>
      <c r="C842" s="3"/>
      <c r="D842" s="4"/>
      <c r="E842" s="5"/>
      <c r="F842" s="6"/>
      <c r="G842" s="7"/>
      <c r="H842" s="8"/>
      <c r="I842" s="5"/>
      <c r="J842" s="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x14ac:dyDescent="0.45">
      <c r="A843" s="2"/>
      <c r="B843" s="2"/>
      <c r="C843" s="3"/>
      <c r="D843" s="4"/>
      <c r="E843" s="5"/>
      <c r="F843" s="6"/>
      <c r="G843" s="7"/>
      <c r="H843" s="8"/>
      <c r="I843" s="5"/>
      <c r="J843" s="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x14ac:dyDescent="0.45">
      <c r="A844" s="2"/>
      <c r="B844" s="2"/>
      <c r="C844" s="3"/>
      <c r="D844" s="4"/>
      <c r="E844" s="5"/>
      <c r="F844" s="6"/>
      <c r="G844" s="7"/>
      <c r="H844" s="8"/>
      <c r="I844" s="5"/>
      <c r="J844" s="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x14ac:dyDescent="0.45">
      <c r="A845" s="2"/>
      <c r="B845" s="2"/>
      <c r="C845" s="3"/>
      <c r="D845" s="4"/>
      <c r="E845" s="5"/>
      <c r="F845" s="6"/>
      <c r="G845" s="7"/>
      <c r="H845" s="8"/>
      <c r="I845" s="5"/>
      <c r="J845" s="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x14ac:dyDescent="0.45">
      <c r="A846" s="2"/>
      <c r="B846" s="2"/>
      <c r="C846" s="3"/>
      <c r="D846" s="4"/>
      <c r="E846" s="5"/>
      <c r="F846" s="6"/>
      <c r="G846" s="7"/>
      <c r="H846" s="8"/>
      <c r="I846" s="5"/>
      <c r="J846" s="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x14ac:dyDescent="0.45">
      <c r="A847" s="2"/>
      <c r="B847" s="2"/>
      <c r="C847" s="3"/>
      <c r="D847" s="4"/>
      <c r="E847" s="5"/>
      <c r="F847" s="6"/>
      <c r="G847" s="7"/>
      <c r="H847" s="8"/>
      <c r="I847" s="5"/>
      <c r="J847" s="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x14ac:dyDescent="0.45">
      <c r="A848" s="2"/>
      <c r="B848" s="2"/>
      <c r="C848" s="3"/>
      <c r="D848" s="4"/>
      <c r="E848" s="5"/>
      <c r="F848" s="6"/>
      <c r="G848" s="7"/>
      <c r="H848" s="8"/>
      <c r="I848" s="5"/>
      <c r="J848" s="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x14ac:dyDescent="0.45">
      <c r="A849" s="2"/>
      <c r="B849" s="2"/>
      <c r="C849" s="3"/>
      <c r="D849" s="4"/>
      <c r="E849" s="5"/>
      <c r="F849" s="6"/>
      <c r="G849" s="7"/>
      <c r="H849" s="8"/>
      <c r="I849" s="5"/>
      <c r="J849" s="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x14ac:dyDescent="0.45">
      <c r="A850" s="2"/>
      <c r="B850" s="2"/>
      <c r="C850" s="3"/>
      <c r="D850" s="4"/>
      <c r="E850" s="5"/>
      <c r="F850" s="6"/>
      <c r="G850" s="7"/>
      <c r="H850" s="8"/>
      <c r="I850" s="5"/>
      <c r="J850" s="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x14ac:dyDescent="0.45">
      <c r="A851" s="2"/>
      <c r="B851" s="2"/>
      <c r="C851" s="3"/>
      <c r="D851" s="4"/>
      <c r="E851" s="5"/>
      <c r="F851" s="6"/>
      <c r="G851" s="7"/>
      <c r="H851" s="8"/>
      <c r="I851" s="5"/>
      <c r="J851" s="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x14ac:dyDescent="0.45">
      <c r="A852" s="2"/>
      <c r="B852" s="2"/>
      <c r="C852" s="3"/>
      <c r="D852" s="4"/>
      <c r="E852" s="5"/>
      <c r="F852" s="6"/>
      <c r="G852" s="7"/>
      <c r="H852" s="8"/>
      <c r="I852" s="5"/>
      <c r="J852" s="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x14ac:dyDescent="0.45">
      <c r="A853" s="2"/>
      <c r="B853" s="2"/>
      <c r="C853" s="3"/>
      <c r="D853" s="4"/>
      <c r="E853" s="5"/>
      <c r="F853" s="6"/>
      <c r="G853" s="7"/>
      <c r="H853" s="8"/>
      <c r="I853" s="5"/>
      <c r="J853" s="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x14ac:dyDescent="0.45">
      <c r="A854" s="2"/>
      <c r="B854" s="2"/>
      <c r="C854" s="3"/>
      <c r="D854" s="4"/>
      <c r="E854" s="5"/>
      <c r="F854" s="6"/>
      <c r="G854" s="7"/>
      <c r="H854" s="8"/>
      <c r="I854" s="5"/>
      <c r="J854" s="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x14ac:dyDescent="0.45">
      <c r="A855" s="2"/>
      <c r="B855" s="2"/>
      <c r="C855" s="3"/>
      <c r="D855" s="4"/>
      <c r="E855" s="5"/>
      <c r="F855" s="6"/>
      <c r="G855" s="7"/>
      <c r="H855" s="8"/>
      <c r="I855" s="5"/>
      <c r="J855" s="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x14ac:dyDescent="0.45">
      <c r="A856" s="2"/>
      <c r="B856" s="2"/>
      <c r="C856" s="3"/>
      <c r="D856" s="4"/>
      <c r="E856" s="5"/>
      <c r="F856" s="6"/>
      <c r="G856" s="7"/>
      <c r="H856" s="8"/>
      <c r="I856" s="5"/>
      <c r="J856" s="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x14ac:dyDescent="0.45">
      <c r="A857" s="2"/>
      <c r="B857" s="2"/>
      <c r="C857" s="3"/>
      <c r="D857" s="4"/>
      <c r="E857" s="5"/>
      <c r="F857" s="6"/>
      <c r="G857" s="7"/>
      <c r="H857" s="8"/>
      <c r="I857" s="5"/>
      <c r="J857" s="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x14ac:dyDescent="0.45">
      <c r="A858" s="2"/>
      <c r="B858" s="2"/>
      <c r="C858" s="3"/>
      <c r="D858" s="4"/>
      <c r="E858" s="5"/>
      <c r="F858" s="6"/>
      <c r="G858" s="7"/>
      <c r="H858" s="8"/>
      <c r="I858" s="5"/>
      <c r="J858" s="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x14ac:dyDescent="0.45">
      <c r="A859" s="2"/>
      <c r="B859" s="2"/>
      <c r="C859" s="3"/>
      <c r="D859" s="4"/>
      <c r="E859" s="5"/>
      <c r="F859" s="6"/>
      <c r="G859" s="7"/>
      <c r="H859" s="8"/>
      <c r="I859" s="5"/>
      <c r="J859" s="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x14ac:dyDescent="0.45">
      <c r="A860" s="2"/>
      <c r="B860" s="2"/>
      <c r="C860" s="3"/>
      <c r="D860" s="4"/>
      <c r="E860" s="5"/>
      <c r="F860" s="6"/>
      <c r="G860" s="7"/>
      <c r="H860" s="8"/>
      <c r="I860" s="5"/>
      <c r="J860" s="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x14ac:dyDescent="0.45">
      <c r="A861" s="2"/>
      <c r="B861" s="2"/>
      <c r="C861" s="3"/>
      <c r="D861" s="4"/>
      <c r="E861" s="5"/>
      <c r="F861" s="6"/>
      <c r="G861" s="7"/>
      <c r="H861" s="8"/>
      <c r="I861" s="5"/>
      <c r="J861" s="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x14ac:dyDescent="0.45">
      <c r="A862" s="2"/>
      <c r="B862" s="2"/>
      <c r="C862" s="3"/>
      <c r="D862" s="4"/>
      <c r="E862" s="5"/>
      <c r="F862" s="6"/>
      <c r="G862" s="7"/>
      <c r="H862" s="8"/>
      <c r="I862" s="5"/>
      <c r="J862" s="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x14ac:dyDescent="0.45">
      <c r="A863" s="2"/>
      <c r="B863" s="2"/>
      <c r="C863" s="3"/>
      <c r="D863" s="4"/>
      <c r="E863" s="5"/>
      <c r="F863" s="6"/>
      <c r="G863" s="7"/>
      <c r="H863" s="8"/>
      <c r="I863" s="5"/>
      <c r="J863" s="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x14ac:dyDescent="0.45">
      <c r="A864" s="2"/>
      <c r="B864" s="2"/>
      <c r="C864" s="3"/>
      <c r="D864" s="4"/>
      <c r="E864" s="5"/>
      <c r="F864" s="6"/>
      <c r="G864" s="7"/>
      <c r="H864" s="8"/>
      <c r="I864" s="5"/>
      <c r="J864" s="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x14ac:dyDescent="0.45">
      <c r="A865" s="2"/>
      <c r="B865" s="2"/>
      <c r="C865" s="3"/>
      <c r="D865" s="4"/>
      <c r="E865" s="5"/>
      <c r="F865" s="6"/>
      <c r="G865" s="7"/>
      <c r="H865" s="8"/>
      <c r="I865" s="5"/>
      <c r="J865" s="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x14ac:dyDescent="0.45">
      <c r="A866" s="2"/>
      <c r="B866" s="2"/>
      <c r="C866" s="3"/>
      <c r="D866" s="4"/>
      <c r="E866" s="5"/>
      <c r="F866" s="6"/>
      <c r="G866" s="7"/>
      <c r="H866" s="8"/>
      <c r="I866" s="5"/>
      <c r="J866" s="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x14ac:dyDescent="0.45">
      <c r="A867" s="2"/>
      <c r="B867" s="2"/>
      <c r="C867" s="3"/>
      <c r="D867" s="4"/>
      <c r="E867" s="5"/>
      <c r="F867" s="6"/>
      <c r="G867" s="7"/>
      <c r="H867" s="8"/>
      <c r="I867" s="5"/>
      <c r="J867" s="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x14ac:dyDescent="0.45">
      <c r="A868" s="2"/>
      <c r="B868" s="2"/>
      <c r="C868" s="3"/>
      <c r="D868" s="4"/>
      <c r="E868" s="5"/>
      <c r="F868" s="6"/>
      <c r="G868" s="7"/>
      <c r="H868" s="8"/>
      <c r="I868" s="5"/>
      <c r="J868" s="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x14ac:dyDescent="0.45">
      <c r="A869" s="2"/>
      <c r="B869" s="2"/>
      <c r="C869" s="3"/>
      <c r="D869" s="4"/>
      <c r="E869" s="5"/>
      <c r="F869" s="6"/>
      <c r="G869" s="7"/>
      <c r="H869" s="8"/>
      <c r="I869" s="5"/>
      <c r="J869" s="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x14ac:dyDescent="0.45">
      <c r="A870" s="2"/>
      <c r="B870" s="2"/>
      <c r="C870" s="3"/>
      <c r="D870" s="4"/>
      <c r="E870" s="5"/>
      <c r="F870" s="6"/>
      <c r="G870" s="7"/>
      <c r="H870" s="8"/>
      <c r="I870" s="5"/>
      <c r="J870" s="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x14ac:dyDescent="0.45">
      <c r="A871" s="2"/>
      <c r="B871" s="2"/>
      <c r="C871" s="3"/>
      <c r="D871" s="4"/>
      <c r="E871" s="5"/>
      <c r="F871" s="6"/>
      <c r="G871" s="7"/>
      <c r="H871" s="8"/>
      <c r="I871" s="5"/>
      <c r="J871" s="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x14ac:dyDescent="0.45">
      <c r="A872" s="2"/>
      <c r="B872" s="2"/>
      <c r="C872" s="3"/>
      <c r="D872" s="4"/>
      <c r="E872" s="5"/>
      <c r="F872" s="6"/>
      <c r="G872" s="7"/>
      <c r="H872" s="8"/>
      <c r="I872" s="5"/>
      <c r="J872" s="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x14ac:dyDescent="0.45">
      <c r="A873" s="2"/>
      <c r="B873" s="2"/>
      <c r="C873" s="3"/>
      <c r="D873" s="4"/>
      <c r="E873" s="5"/>
      <c r="F873" s="6"/>
      <c r="G873" s="7"/>
      <c r="H873" s="8"/>
      <c r="I873" s="5"/>
      <c r="J873" s="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x14ac:dyDescent="0.45">
      <c r="A874" s="2"/>
      <c r="B874" s="2"/>
      <c r="C874" s="3"/>
      <c r="D874" s="4"/>
      <c r="E874" s="5"/>
      <c r="F874" s="6"/>
      <c r="G874" s="7"/>
      <c r="H874" s="8"/>
      <c r="I874" s="5"/>
      <c r="J874" s="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x14ac:dyDescent="0.45">
      <c r="A875" s="2"/>
      <c r="B875" s="2"/>
      <c r="C875" s="3"/>
      <c r="D875" s="4"/>
      <c r="E875" s="5"/>
      <c r="F875" s="6"/>
      <c r="G875" s="7"/>
      <c r="H875" s="8"/>
      <c r="I875" s="5"/>
      <c r="J875" s="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x14ac:dyDescent="0.45">
      <c r="A876" s="2"/>
      <c r="B876" s="2"/>
      <c r="C876" s="3"/>
      <c r="D876" s="4"/>
      <c r="E876" s="5"/>
      <c r="F876" s="6"/>
      <c r="G876" s="7"/>
      <c r="H876" s="8"/>
      <c r="I876" s="5"/>
      <c r="J876" s="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x14ac:dyDescent="0.45">
      <c r="A877" s="2"/>
      <c r="B877" s="2"/>
      <c r="C877" s="3"/>
      <c r="D877" s="4"/>
      <c r="E877" s="5"/>
      <c r="F877" s="6"/>
      <c r="G877" s="7"/>
      <c r="H877" s="8"/>
      <c r="I877" s="5"/>
      <c r="J877" s="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x14ac:dyDescent="0.45">
      <c r="A878" s="2"/>
      <c r="B878" s="2"/>
      <c r="C878" s="3"/>
      <c r="D878" s="4"/>
      <c r="E878" s="5"/>
      <c r="F878" s="6"/>
      <c r="G878" s="7"/>
      <c r="H878" s="8"/>
      <c r="I878" s="5"/>
      <c r="J878" s="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x14ac:dyDescent="0.45">
      <c r="A879" s="2"/>
      <c r="B879" s="2"/>
      <c r="C879" s="3"/>
      <c r="D879" s="4"/>
      <c r="E879" s="5"/>
      <c r="F879" s="6"/>
      <c r="G879" s="7"/>
      <c r="H879" s="8"/>
      <c r="I879" s="5"/>
      <c r="J879" s="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x14ac:dyDescent="0.45">
      <c r="A880" s="2"/>
      <c r="B880" s="2"/>
      <c r="C880" s="3"/>
      <c r="D880" s="4"/>
      <c r="E880" s="5"/>
      <c r="F880" s="6"/>
      <c r="G880" s="7"/>
      <c r="H880" s="8"/>
      <c r="I880" s="5"/>
      <c r="J880" s="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x14ac:dyDescent="0.45">
      <c r="A881" s="2"/>
      <c r="B881" s="2"/>
      <c r="C881" s="3"/>
      <c r="D881" s="4"/>
      <c r="E881" s="5"/>
      <c r="F881" s="6"/>
      <c r="G881" s="7"/>
      <c r="H881" s="8"/>
      <c r="I881" s="5"/>
      <c r="J881" s="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x14ac:dyDescent="0.45">
      <c r="A882" s="2"/>
      <c r="B882" s="2"/>
      <c r="C882" s="3"/>
      <c r="D882" s="4"/>
      <c r="E882" s="5"/>
      <c r="F882" s="6"/>
      <c r="G882" s="7"/>
      <c r="H882" s="8"/>
      <c r="I882" s="5"/>
      <c r="J882" s="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x14ac:dyDescent="0.45">
      <c r="A883" s="2"/>
      <c r="B883" s="2"/>
      <c r="C883" s="3"/>
      <c r="D883" s="4"/>
      <c r="E883" s="5"/>
      <c r="F883" s="6"/>
      <c r="G883" s="7"/>
      <c r="H883" s="8"/>
      <c r="I883" s="5"/>
      <c r="J883" s="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x14ac:dyDescent="0.45">
      <c r="A884" s="2"/>
      <c r="B884" s="2"/>
      <c r="C884" s="3"/>
      <c r="D884" s="4"/>
      <c r="E884" s="5"/>
      <c r="F884" s="6"/>
      <c r="G884" s="7"/>
      <c r="H884" s="8"/>
      <c r="I884" s="5"/>
      <c r="J884" s="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x14ac:dyDescent="0.45">
      <c r="A885" s="2"/>
      <c r="B885" s="2"/>
      <c r="C885" s="3"/>
      <c r="D885" s="4"/>
      <c r="E885" s="5"/>
      <c r="F885" s="6"/>
      <c r="G885" s="7"/>
      <c r="H885" s="8"/>
      <c r="I885" s="5"/>
      <c r="J885" s="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x14ac:dyDescent="0.45">
      <c r="A886" s="2"/>
      <c r="B886" s="2"/>
      <c r="C886" s="3"/>
      <c r="D886" s="4"/>
      <c r="E886" s="5"/>
      <c r="F886" s="6"/>
      <c r="G886" s="7"/>
      <c r="H886" s="8"/>
      <c r="I886" s="5"/>
      <c r="J886" s="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x14ac:dyDescent="0.45">
      <c r="A887" s="2"/>
      <c r="B887" s="2"/>
      <c r="C887" s="3"/>
      <c r="D887" s="4"/>
      <c r="E887" s="5"/>
      <c r="F887" s="6"/>
      <c r="G887" s="7"/>
      <c r="H887" s="8"/>
      <c r="I887" s="5"/>
      <c r="J887" s="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x14ac:dyDescent="0.45">
      <c r="A888" s="2"/>
      <c r="B888" s="2"/>
      <c r="C888" s="3"/>
      <c r="D888" s="4"/>
      <c r="E888" s="5"/>
      <c r="F888" s="6"/>
      <c r="G888" s="7"/>
      <c r="H888" s="8"/>
      <c r="I888" s="5"/>
      <c r="J888" s="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x14ac:dyDescent="0.45">
      <c r="A889" s="2"/>
      <c r="B889" s="2"/>
      <c r="C889" s="3"/>
      <c r="D889" s="4"/>
      <c r="E889" s="5"/>
      <c r="F889" s="6"/>
      <c r="G889" s="7"/>
      <c r="H889" s="8"/>
      <c r="I889" s="5"/>
      <c r="J889" s="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x14ac:dyDescent="0.45">
      <c r="A890" s="2"/>
      <c r="B890" s="2"/>
      <c r="C890" s="3"/>
      <c r="D890" s="4"/>
      <c r="E890" s="5"/>
      <c r="F890" s="6"/>
      <c r="G890" s="7"/>
      <c r="H890" s="8"/>
      <c r="I890" s="5"/>
      <c r="J890" s="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x14ac:dyDescent="0.45">
      <c r="A891" s="2"/>
      <c r="B891" s="2"/>
      <c r="C891" s="3"/>
      <c r="D891" s="4"/>
      <c r="E891" s="5"/>
      <c r="F891" s="6"/>
      <c r="G891" s="7"/>
      <c r="H891" s="8"/>
      <c r="I891" s="5"/>
      <c r="J891" s="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x14ac:dyDescent="0.45">
      <c r="A892" s="2"/>
      <c r="B892" s="2"/>
      <c r="C892" s="3"/>
      <c r="D892" s="4"/>
      <c r="E892" s="5"/>
      <c r="F892" s="6"/>
      <c r="G892" s="7"/>
      <c r="H892" s="8"/>
      <c r="I892" s="5"/>
      <c r="J892" s="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x14ac:dyDescent="0.45">
      <c r="A893" s="2"/>
      <c r="B893" s="2"/>
      <c r="C893" s="3"/>
      <c r="D893" s="4"/>
      <c r="E893" s="5"/>
      <c r="F893" s="6"/>
      <c r="G893" s="7"/>
      <c r="H893" s="8"/>
      <c r="I893" s="5"/>
      <c r="J893" s="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x14ac:dyDescent="0.45">
      <c r="A894" s="2"/>
      <c r="B894" s="2"/>
      <c r="C894" s="3"/>
      <c r="D894" s="4"/>
      <c r="E894" s="5"/>
      <c r="F894" s="6"/>
      <c r="G894" s="7"/>
      <c r="H894" s="8"/>
      <c r="I894" s="5"/>
      <c r="J894" s="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x14ac:dyDescent="0.45">
      <c r="A895" s="2"/>
      <c r="B895" s="2"/>
      <c r="C895" s="3"/>
      <c r="D895" s="4"/>
      <c r="E895" s="5"/>
      <c r="F895" s="6"/>
      <c r="G895" s="7"/>
      <c r="H895" s="8"/>
      <c r="I895" s="5"/>
      <c r="J895" s="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x14ac:dyDescent="0.45">
      <c r="A896" s="2"/>
      <c r="B896" s="2"/>
      <c r="C896" s="3"/>
      <c r="D896" s="4"/>
      <c r="E896" s="5"/>
      <c r="F896" s="6"/>
      <c r="G896" s="7"/>
      <c r="H896" s="8"/>
      <c r="I896" s="5"/>
      <c r="J896" s="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x14ac:dyDescent="0.45">
      <c r="A897" s="2"/>
      <c r="B897" s="2"/>
      <c r="C897" s="3"/>
      <c r="D897" s="4"/>
      <c r="E897" s="5"/>
      <c r="F897" s="6"/>
      <c r="G897" s="7"/>
      <c r="H897" s="8"/>
      <c r="I897" s="5"/>
      <c r="J897" s="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x14ac:dyDescent="0.45">
      <c r="A898" s="2"/>
      <c r="B898" s="2"/>
      <c r="C898" s="3"/>
      <c r="D898" s="4"/>
      <c r="E898" s="5"/>
      <c r="F898" s="6"/>
      <c r="G898" s="7"/>
      <c r="H898" s="8"/>
      <c r="I898" s="5"/>
      <c r="J898" s="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x14ac:dyDescent="0.45">
      <c r="A899" s="2"/>
      <c r="B899" s="2"/>
      <c r="C899" s="3"/>
      <c r="D899" s="4"/>
      <c r="E899" s="5"/>
      <c r="F899" s="6"/>
      <c r="G899" s="7"/>
      <c r="H899" s="8"/>
      <c r="I899" s="5"/>
      <c r="J899" s="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x14ac:dyDescent="0.45">
      <c r="A900" s="2"/>
      <c r="B900" s="2"/>
      <c r="C900" s="3"/>
      <c r="D900" s="4"/>
      <c r="E900" s="5"/>
      <c r="F900" s="6"/>
      <c r="G900" s="7"/>
      <c r="H900" s="8"/>
      <c r="I900" s="5"/>
      <c r="J900" s="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x14ac:dyDescent="0.45">
      <c r="A901" s="2"/>
      <c r="B901" s="2"/>
      <c r="C901" s="3"/>
      <c r="D901" s="4"/>
      <c r="E901" s="5"/>
      <c r="F901" s="6"/>
      <c r="G901" s="7"/>
      <c r="H901" s="8"/>
      <c r="I901" s="5"/>
      <c r="J901" s="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x14ac:dyDescent="0.45">
      <c r="A902" s="2"/>
      <c r="B902" s="2"/>
      <c r="C902" s="3"/>
      <c r="D902" s="4"/>
      <c r="E902" s="5"/>
      <c r="F902" s="6"/>
      <c r="G902" s="7"/>
      <c r="H902" s="8"/>
      <c r="I902" s="5"/>
      <c r="J902" s="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x14ac:dyDescent="0.45">
      <c r="A903" s="2"/>
      <c r="B903" s="2"/>
      <c r="C903" s="3"/>
      <c r="D903" s="4"/>
      <c r="E903" s="5"/>
      <c r="F903" s="6"/>
      <c r="G903" s="7"/>
      <c r="H903" s="8"/>
      <c r="I903" s="5"/>
      <c r="J903" s="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x14ac:dyDescent="0.45">
      <c r="A904" s="2"/>
      <c r="B904" s="2"/>
      <c r="C904" s="3"/>
      <c r="D904" s="4"/>
      <c r="E904" s="5"/>
      <c r="F904" s="6"/>
      <c r="G904" s="7"/>
      <c r="H904" s="8"/>
      <c r="I904" s="5"/>
      <c r="J904" s="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x14ac:dyDescent="0.45">
      <c r="A905" s="2"/>
      <c r="B905" s="2"/>
      <c r="C905" s="3"/>
      <c r="D905" s="4"/>
      <c r="E905" s="5"/>
      <c r="F905" s="6"/>
      <c r="G905" s="7"/>
      <c r="H905" s="8"/>
      <c r="I905" s="5"/>
      <c r="J905" s="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x14ac:dyDescent="0.45">
      <c r="A906" s="2"/>
      <c r="B906" s="2"/>
      <c r="C906" s="3"/>
      <c r="D906" s="4"/>
      <c r="E906" s="5"/>
      <c r="F906" s="6"/>
      <c r="G906" s="7"/>
      <c r="H906" s="8"/>
      <c r="I906" s="5"/>
      <c r="J906" s="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x14ac:dyDescent="0.45">
      <c r="A907" s="2"/>
      <c r="B907" s="2"/>
      <c r="C907" s="3"/>
      <c r="D907" s="4"/>
      <c r="E907" s="5"/>
      <c r="F907" s="6"/>
      <c r="G907" s="7"/>
      <c r="H907" s="8"/>
      <c r="I907" s="5"/>
      <c r="J907" s="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x14ac:dyDescent="0.45">
      <c r="A908" s="2"/>
      <c r="B908" s="2"/>
      <c r="C908" s="3"/>
      <c r="D908" s="4"/>
      <c r="E908" s="5"/>
      <c r="F908" s="6"/>
      <c r="G908" s="7"/>
      <c r="H908" s="8"/>
      <c r="I908" s="5"/>
      <c r="J908" s="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x14ac:dyDescent="0.45">
      <c r="A909" s="2"/>
      <c r="B909" s="2"/>
      <c r="C909" s="3"/>
      <c r="D909" s="4"/>
      <c r="E909" s="5"/>
      <c r="F909" s="6"/>
      <c r="G909" s="7"/>
      <c r="H909" s="8"/>
      <c r="I909" s="5"/>
      <c r="J909" s="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x14ac:dyDescent="0.45">
      <c r="A910" s="2"/>
      <c r="B910" s="2"/>
      <c r="C910" s="3"/>
      <c r="D910" s="4"/>
      <c r="E910" s="5"/>
      <c r="F910" s="6"/>
      <c r="G910" s="7"/>
      <c r="H910" s="8"/>
      <c r="I910" s="5"/>
      <c r="J910" s="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x14ac:dyDescent="0.45">
      <c r="A911" s="2"/>
      <c r="B911" s="2"/>
      <c r="C911" s="3"/>
      <c r="D911" s="4"/>
      <c r="E911" s="5"/>
      <c r="F911" s="6"/>
      <c r="G911" s="7"/>
      <c r="H911" s="8"/>
      <c r="I911" s="5"/>
      <c r="J911" s="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x14ac:dyDescent="0.45">
      <c r="A912" s="2"/>
      <c r="B912" s="2"/>
      <c r="C912" s="3"/>
      <c r="D912" s="4"/>
      <c r="E912" s="5"/>
      <c r="F912" s="6"/>
      <c r="G912" s="7"/>
      <c r="H912" s="8"/>
      <c r="I912" s="5"/>
      <c r="J912" s="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x14ac:dyDescent="0.45">
      <c r="A913" s="2"/>
      <c r="B913" s="2"/>
      <c r="C913" s="3"/>
      <c r="D913" s="4"/>
      <c r="E913" s="5"/>
      <c r="F913" s="6"/>
      <c r="G913" s="7"/>
      <c r="H913" s="8"/>
      <c r="I913" s="5"/>
      <c r="J913" s="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x14ac:dyDescent="0.45">
      <c r="A914" s="2"/>
      <c r="B914" s="2"/>
      <c r="C914" s="3"/>
      <c r="D914" s="4"/>
      <c r="E914" s="5"/>
      <c r="F914" s="6"/>
      <c r="G914" s="7"/>
      <c r="H914" s="8"/>
      <c r="I914" s="5"/>
      <c r="J914" s="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x14ac:dyDescent="0.45">
      <c r="A915" s="2"/>
      <c r="B915" s="2"/>
      <c r="C915" s="3"/>
      <c r="D915" s="4"/>
      <c r="E915" s="5"/>
      <c r="F915" s="6"/>
      <c r="G915" s="7"/>
      <c r="H915" s="8"/>
      <c r="I915" s="5"/>
      <c r="J915" s="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x14ac:dyDescent="0.45">
      <c r="A916" s="2"/>
      <c r="B916" s="2"/>
      <c r="C916" s="3"/>
      <c r="D916" s="4"/>
      <c r="E916" s="5"/>
      <c r="F916" s="6"/>
      <c r="G916" s="7"/>
      <c r="H916" s="8"/>
      <c r="I916" s="5"/>
      <c r="J916" s="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x14ac:dyDescent="0.45">
      <c r="A917" s="2"/>
      <c r="B917" s="2"/>
      <c r="C917" s="3"/>
      <c r="D917" s="4"/>
      <c r="E917" s="5"/>
      <c r="F917" s="6"/>
      <c r="G917" s="7"/>
      <c r="H917" s="8"/>
      <c r="I917" s="5"/>
      <c r="J917" s="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x14ac:dyDescent="0.45">
      <c r="A918" s="2"/>
      <c r="B918" s="2"/>
      <c r="C918" s="3"/>
      <c r="D918" s="4"/>
      <c r="E918" s="5"/>
      <c r="F918" s="6"/>
      <c r="G918" s="7"/>
      <c r="H918" s="8"/>
      <c r="I918" s="5"/>
      <c r="J918" s="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x14ac:dyDescent="0.45">
      <c r="A919" s="2"/>
      <c r="B919" s="2"/>
      <c r="C919" s="3"/>
      <c r="D919" s="4"/>
      <c r="E919" s="5"/>
      <c r="F919" s="6"/>
      <c r="G919" s="7"/>
      <c r="H919" s="8"/>
      <c r="I919" s="5"/>
      <c r="J919" s="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x14ac:dyDescent="0.45">
      <c r="A920" s="2"/>
      <c r="B920" s="2"/>
      <c r="C920" s="3"/>
      <c r="D920" s="4"/>
      <c r="E920" s="5"/>
      <c r="F920" s="6"/>
      <c r="G920" s="7"/>
      <c r="H920" s="8"/>
      <c r="I920" s="5"/>
      <c r="J920" s="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x14ac:dyDescent="0.45">
      <c r="A921" s="2"/>
      <c r="B921" s="2"/>
      <c r="C921" s="3"/>
      <c r="D921" s="4"/>
      <c r="E921" s="5"/>
      <c r="F921" s="6"/>
      <c r="G921" s="7"/>
      <c r="H921" s="8"/>
      <c r="I921" s="5"/>
      <c r="J921" s="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x14ac:dyDescent="0.45">
      <c r="A922" s="2"/>
      <c r="B922" s="2"/>
      <c r="C922" s="3"/>
      <c r="D922" s="4"/>
      <c r="E922" s="5"/>
      <c r="F922" s="6"/>
      <c r="G922" s="7"/>
      <c r="H922" s="8"/>
      <c r="I922" s="5"/>
      <c r="J922" s="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x14ac:dyDescent="0.45">
      <c r="A923" s="2"/>
      <c r="B923" s="2"/>
      <c r="C923" s="3"/>
      <c r="D923" s="4"/>
      <c r="E923" s="5"/>
      <c r="F923" s="6"/>
      <c r="G923" s="7"/>
      <c r="H923" s="8"/>
      <c r="I923" s="5"/>
      <c r="J923" s="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x14ac:dyDescent="0.45">
      <c r="A924" s="2"/>
      <c r="B924" s="2"/>
      <c r="C924" s="3"/>
      <c r="D924" s="4"/>
      <c r="E924" s="5"/>
      <c r="F924" s="6"/>
      <c r="G924" s="7"/>
      <c r="H924" s="8"/>
      <c r="I924" s="5"/>
      <c r="J924" s="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x14ac:dyDescent="0.45">
      <c r="A925" s="2"/>
      <c r="B925" s="2"/>
      <c r="C925" s="3"/>
      <c r="D925" s="4"/>
      <c r="E925" s="5"/>
      <c r="F925" s="6"/>
      <c r="G925" s="7"/>
      <c r="H925" s="8"/>
      <c r="I925" s="5"/>
      <c r="J925" s="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x14ac:dyDescent="0.45">
      <c r="A926" s="2"/>
      <c r="B926" s="2"/>
      <c r="C926" s="3"/>
      <c r="D926" s="4"/>
      <c r="E926" s="5"/>
      <c r="F926" s="6"/>
      <c r="G926" s="7"/>
      <c r="H926" s="8"/>
      <c r="I926" s="5"/>
      <c r="J926" s="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x14ac:dyDescent="0.45">
      <c r="A927" s="2"/>
      <c r="B927" s="2"/>
      <c r="C927" s="3"/>
      <c r="D927" s="4"/>
      <c r="E927" s="5"/>
      <c r="F927" s="6"/>
      <c r="G927" s="7"/>
      <c r="H927" s="8"/>
      <c r="I927" s="5"/>
      <c r="J927" s="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x14ac:dyDescent="0.45">
      <c r="A928" s="2"/>
      <c r="B928" s="2"/>
      <c r="C928" s="3"/>
      <c r="D928" s="4"/>
      <c r="E928" s="5"/>
      <c r="F928" s="6"/>
      <c r="G928" s="7"/>
      <c r="H928" s="8"/>
      <c r="I928" s="5"/>
      <c r="J928" s="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x14ac:dyDescent="0.45">
      <c r="A929" s="2"/>
      <c r="B929" s="2"/>
      <c r="C929" s="3"/>
      <c r="D929" s="4"/>
      <c r="E929" s="5"/>
      <c r="F929" s="6"/>
      <c r="G929" s="7"/>
      <c r="H929" s="8"/>
      <c r="I929" s="5"/>
      <c r="J929" s="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x14ac:dyDescent="0.45">
      <c r="A930" s="2"/>
      <c r="B930" s="2"/>
      <c r="C930" s="3"/>
      <c r="D930" s="4"/>
      <c r="E930" s="5"/>
      <c r="F930" s="6"/>
      <c r="G930" s="7"/>
      <c r="H930" s="8"/>
      <c r="I930" s="5"/>
      <c r="J930" s="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x14ac:dyDescent="0.45">
      <c r="A931" s="2"/>
      <c r="B931" s="2"/>
      <c r="C931" s="3"/>
      <c r="D931" s="4"/>
      <c r="E931" s="5"/>
      <c r="F931" s="6"/>
      <c r="G931" s="7"/>
      <c r="H931" s="8"/>
      <c r="I931" s="5"/>
      <c r="J931" s="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x14ac:dyDescent="0.45">
      <c r="A932" s="2"/>
      <c r="B932" s="2"/>
      <c r="C932" s="3"/>
      <c r="D932" s="4"/>
      <c r="E932" s="5"/>
      <c r="F932" s="6"/>
      <c r="G932" s="7"/>
      <c r="H932" s="8"/>
      <c r="I932" s="5"/>
      <c r="J932" s="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x14ac:dyDescent="0.45">
      <c r="A933" s="2"/>
      <c r="B933" s="2"/>
      <c r="C933" s="3"/>
      <c r="D933" s="4"/>
      <c r="E933" s="5"/>
      <c r="F933" s="6"/>
      <c r="G933" s="7"/>
      <c r="H933" s="8"/>
      <c r="I933" s="5"/>
      <c r="J933" s="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x14ac:dyDescent="0.45">
      <c r="A934" s="2"/>
      <c r="B934" s="2"/>
      <c r="C934" s="3"/>
      <c r="D934" s="4"/>
      <c r="E934" s="5"/>
      <c r="F934" s="6"/>
      <c r="G934" s="7"/>
      <c r="H934" s="8"/>
      <c r="I934" s="5"/>
      <c r="J934" s="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x14ac:dyDescent="0.45">
      <c r="A935" s="2"/>
      <c r="B935" s="2"/>
      <c r="C935" s="3"/>
      <c r="D935" s="4"/>
      <c r="E935" s="5"/>
      <c r="F935" s="6"/>
      <c r="G935" s="7"/>
      <c r="H935" s="8"/>
      <c r="I935" s="5"/>
      <c r="J935" s="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x14ac:dyDescent="0.45">
      <c r="A936" s="2"/>
      <c r="B936" s="2"/>
      <c r="C936" s="3"/>
      <c r="D936" s="4"/>
      <c r="E936" s="5"/>
      <c r="F936" s="6"/>
      <c r="G936" s="7"/>
      <c r="H936" s="8"/>
      <c r="I936" s="5"/>
      <c r="J936" s="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x14ac:dyDescent="0.45">
      <c r="A937" s="2"/>
      <c r="B937" s="2"/>
      <c r="C937" s="3"/>
      <c r="D937" s="4"/>
      <c r="E937" s="5"/>
      <c r="F937" s="6"/>
      <c r="G937" s="7"/>
      <c r="H937" s="8"/>
      <c r="I937" s="5"/>
      <c r="J937" s="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x14ac:dyDescent="0.45">
      <c r="A938" s="2"/>
      <c r="B938" s="2"/>
      <c r="C938" s="3"/>
      <c r="D938" s="4"/>
      <c r="E938" s="5"/>
      <c r="F938" s="6"/>
      <c r="G938" s="7"/>
      <c r="H938" s="8"/>
      <c r="I938" s="5"/>
      <c r="J938" s="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x14ac:dyDescent="0.45">
      <c r="A939" s="2"/>
      <c r="B939" s="2"/>
      <c r="C939" s="3"/>
      <c r="D939" s="4"/>
      <c r="E939" s="5"/>
      <c r="F939" s="6"/>
      <c r="G939" s="7"/>
      <c r="H939" s="8"/>
      <c r="I939" s="5"/>
      <c r="J939" s="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x14ac:dyDescent="0.45">
      <c r="A940" s="2"/>
      <c r="B940" s="2"/>
      <c r="C940" s="3"/>
      <c r="D940" s="4"/>
      <c r="E940" s="5"/>
      <c r="F940" s="6"/>
      <c r="G940" s="7"/>
      <c r="H940" s="8"/>
      <c r="I940" s="5"/>
      <c r="J940" s="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x14ac:dyDescent="0.45">
      <c r="A941" s="2"/>
      <c r="B941" s="2"/>
      <c r="C941" s="3"/>
      <c r="D941" s="4"/>
      <c r="E941" s="5"/>
      <c r="F941" s="6"/>
      <c r="G941" s="7"/>
      <c r="H941" s="8"/>
      <c r="I941" s="5"/>
      <c r="J941" s="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x14ac:dyDescent="0.45">
      <c r="A942" s="2"/>
      <c r="B942" s="2"/>
      <c r="C942" s="3"/>
      <c r="D942" s="4"/>
      <c r="E942" s="5"/>
      <c r="F942" s="6"/>
      <c r="G942" s="7"/>
      <c r="H942" s="8"/>
      <c r="I942" s="5"/>
      <c r="J942" s="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x14ac:dyDescent="0.45">
      <c r="A943" s="2"/>
      <c r="B943" s="2"/>
      <c r="C943" s="3"/>
      <c r="D943" s="4"/>
      <c r="E943" s="5"/>
      <c r="F943" s="6"/>
      <c r="G943" s="7"/>
      <c r="H943" s="8"/>
      <c r="I943" s="5"/>
      <c r="J943" s="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x14ac:dyDescent="0.45">
      <c r="A944" s="2"/>
      <c r="B944" s="2"/>
      <c r="C944" s="3"/>
      <c r="D944" s="4"/>
      <c r="E944" s="5"/>
      <c r="F944" s="6"/>
      <c r="G944" s="7"/>
      <c r="H944" s="8"/>
      <c r="I944" s="5"/>
      <c r="J944" s="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x14ac:dyDescent="0.45">
      <c r="A945" s="2"/>
      <c r="B945" s="2"/>
      <c r="C945" s="3"/>
      <c r="D945" s="4"/>
      <c r="E945" s="5"/>
      <c r="F945" s="6"/>
      <c r="G945" s="7"/>
      <c r="H945" s="8"/>
      <c r="I945" s="5"/>
      <c r="J945" s="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x14ac:dyDescent="0.45">
      <c r="A946" s="2"/>
      <c r="B946" s="2"/>
      <c r="C946" s="3"/>
      <c r="D946" s="4"/>
      <c r="E946" s="5"/>
      <c r="F946" s="6"/>
      <c r="G946" s="7"/>
      <c r="H946" s="8"/>
      <c r="I946" s="5"/>
      <c r="J946" s="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x14ac:dyDescent="0.45">
      <c r="A947" s="2"/>
      <c r="B947" s="2"/>
      <c r="C947" s="3"/>
      <c r="D947" s="4"/>
      <c r="E947" s="5"/>
      <c r="F947" s="6"/>
      <c r="G947" s="7"/>
      <c r="H947" s="8"/>
      <c r="I947" s="5"/>
      <c r="J947" s="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x14ac:dyDescent="0.45">
      <c r="A948" s="2"/>
      <c r="B948" s="2"/>
      <c r="C948" s="3"/>
      <c r="D948" s="4"/>
      <c r="E948" s="5"/>
      <c r="F948" s="6"/>
      <c r="G948" s="7"/>
      <c r="H948" s="8"/>
      <c r="I948" s="5"/>
      <c r="J948" s="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x14ac:dyDescent="0.45">
      <c r="A949" s="2"/>
      <c r="B949" s="2"/>
      <c r="C949" s="3"/>
      <c r="D949" s="4"/>
      <c r="E949" s="5"/>
      <c r="F949" s="6"/>
      <c r="G949" s="7"/>
      <c r="H949" s="8"/>
      <c r="I949" s="5"/>
      <c r="J949" s="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x14ac:dyDescent="0.45">
      <c r="A950" s="2"/>
      <c r="B950" s="2"/>
      <c r="C950" s="3"/>
      <c r="D950" s="4"/>
      <c r="E950" s="5"/>
      <c r="F950" s="6"/>
      <c r="G950" s="7"/>
      <c r="H950" s="8"/>
      <c r="I950" s="5"/>
      <c r="J950" s="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x14ac:dyDescent="0.45">
      <c r="A951" s="2"/>
      <c r="B951" s="2"/>
      <c r="C951" s="3"/>
      <c r="D951" s="4"/>
      <c r="E951" s="5"/>
      <c r="F951" s="6"/>
      <c r="G951" s="7"/>
      <c r="H951" s="8"/>
      <c r="I951" s="5"/>
      <c r="J951" s="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x14ac:dyDescent="0.45">
      <c r="A952" s="2"/>
      <c r="B952" s="2"/>
      <c r="C952" s="3"/>
      <c r="D952" s="4"/>
      <c r="E952" s="5"/>
      <c r="F952" s="6"/>
      <c r="G952" s="7"/>
      <c r="H952" s="8"/>
      <c r="I952" s="5"/>
      <c r="J952" s="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x14ac:dyDescent="0.45">
      <c r="A953" s="2"/>
      <c r="B953" s="2"/>
      <c r="C953" s="3"/>
      <c r="D953" s="4"/>
      <c r="E953" s="5"/>
      <c r="F953" s="6"/>
      <c r="G953" s="7"/>
      <c r="H953" s="8"/>
      <c r="I953" s="5"/>
      <c r="J953" s="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x14ac:dyDescent="0.45">
      <c r="A954" s="2"/>
      <c r="B954" s="2"/>
      <c r="C954" s="3"/>
      <c r="D954" s="4"/>
      <c r="E954" s="5"/>
      <c r="F954" s="6"/>
      <c r="G954" s="7"/>
      <c r="H954" s="8"/>
      <c r="I954" s="5"/>
      <c r="J954" s="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x14ac:dyDescent="0.45">
      <c r="A955" s="2"/>
      <c r="B955" s="2"/>
      <c r="C955" s="3"/>
      <c r="D955" s="4"/>
      <c r="E955" s="5"/>
      <c r="F955" s="6"/>
      <c r="G955" s="7"/>
      <c r="H955" s="8"/>
      <c r="I955" s="5"/>
      <c r="J955" s="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x14ac:dyDescent="0.45">
      <c r="A956" s="2"/>
      <c r="B956" s="2"/>
      <c r="C956" s="3"/>
      <c r="D956" s="4"/>
      <c r="E956" s="5"/>
      <c r="F956" s="6"/>
      <c r="G956" s="7"/>
      <c r="H956" s="8"/>
      <c r="I956" s="5"/>
      <c r="J956" s="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x14ac:dyDescent="0.45">
      <c r="A957" s="2"/>
      <c r="B957" s="2"/>
      <c r="C957" s="3"/>
      <c r="D957" s="4"/>
      <c r="E957" s="5"/>
      <c r="F957" s="6"/>
      <c r="G957" s="7"/>
      <c r="H957" s="8"/>
      <c r="I957" s="5"/>
      <c r="J957" s="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x14ac:dyDescent="0.45">
      <c r="A958" s="2"/>
      <c r="B958" s="2"/>
      <c r="C958" s="3"/>
      <c r="D958" s="4"/>
      <c r="E958" s="5"/>
      <c r="F958" s="6"/>
      <c r="G958" s="7"/>
      <c r="H958" s="8"/>
      <c r="I958" s="5"/>
      <c r="J958" s="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x14ac:dyDescent="0.45">
      <c r="A959" s="2"/>
      <c r="B959" s="2"/>
      <c r="C959" s="3"/>
      <c r="D959" s="4"/>
      <c r="E959" s="5"/>
      <c r="F959" s="6"/>
      <c r="G959" s="7"/>
      <c r="H959" s="8"/>
      <c r="I959" s="5"/>
      <c r="J959" s="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x14ac:dyDescent="0.45">
      <c r="A960" s="2"/>
      <c r="B960" s="2"/>
      <c r="C960" s="3"/>
      <c r="D960" s="4"/>
      <c r="E960" s="5"/>
      <c r="F960" s="6"/>
      <c r="G960" s="7"/>
      <c r="H960" s="8"/>
      <c r="I960" s="5"/>
      <c r="J960" s="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x14ac:dyDescent="0.45">
      <c r="A961" s="2"/>
      <c r="B961" s="2"/>
      <c r="C961" s="3"/>
      <c r="D961" s="4"/>
      <c r="E961" s="5"/>
      <c r="F961" s="6"/>
      <c r="G961" s="7"/>
      <c r="H961" s="8"/>
      <c r="I961" s="5"/>
      <c r="J961" s="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x14ac:dyDescent="0.45">
      <c r="A962" s="2"/>
      <c r="B962" s="2"/>
      <c r="C962" s="3"/>
      <c r="D962" s="4"/>
      <c r="E962" s="5"/>
      <c r="F962" s="6"/>
      <c r="G962" s="7"/>
      <c r="H962" s="8"/>
      <c r="I962" s="5"/>
      <c r="J962" s="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x14ac:dyDescent="0.45">
      <c r="A963" s="2"/>
      <c r="B963" s="2"/>
      <c r="C963" s="3"/>
      <c r="D963" s="4"/>
      <c r="E963" s="5"/>
      <c r="F963" s="6"/>
      <c r="G963" s="7"/>
      <c r="H963" s="8"/>
      <c r="I963" s="5"/>
      <c r="J963" s="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x14ac:dyDescent="0.45">
      <c r="A964" s="2"/>
      <c r="B964" s="2"/>
      <c r="C964" s="3"/>
      <c r="D964" s="4"/>
      <c r="E964" s="5"/>
      <c r="F964" s="6"/>
      <c r="G964" s="7"/>
      <c r="H964" s="8"/>
      <c r="I964" s="5"/>
      <c r="J964" s="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x14ac:dyDescent="0.45">
      <c r="A965" s="2"/>
      <c r="B965" s="2"/>
      <c r="C965" s="3"/>
      <c r="D965" s="4"/>
      <c r="E965" s="5"/>
      <c r="F965" s="6"/>
      <c r="G965" s="7"/>
      <c r="H965" s="8"/>
      <c r="I965" s="5"/>
      <c r="J965" s="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x14ac:dyDescent="0.45">
      <c r="A966" s="2"/>
      <c r="B966" s="2"/>
      <c r="C966" s="3"/>
      <c r="D966" s="4"/>
      <c r="E966" s="5"/>
      <c r="F966" s="6"/>
      <c r="G966" s="7"/>
      <c r="H966" s="8"/>
      <c r="I966" s="5"/>
      <c r="J966" s="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x14ac:dyDescent="0.45">
      <c r="A967" s="2"/>
      <c r="B967" s="2"/>
      <c r="C967" s="3"/>
      <c r="D967" s="4"/>
      <c r="E967" s="5"/>
      <c r="F967" s="6"/>
      <c r="G967" s="7"/>
      <c r="H967" s="8"/>
      <c r="I967" s="5"/>
      <c r="J967" s="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x14ac:dyDescent="0.45">
      <c r="A968" s="2"/>
      <c r="B968" s="2"/>
      <c r="C968" s="3"/>
      <c r="D968" s="4"/>
      <c r="E968" s="5"/>
      <c r="F968" s="6"/>
      <c r="G968" s="7"/>
      <c r="H968" s="8"/>
      <c r="I968" s="5"/>
      <c r="J968" s="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x14ac:dyDescent="0.45">
      <c r="A969" s="2"/>
      <c r="B969" s="2"/>
      <c r="C969" s="3"/>
      <c r="D969" s="4"/>
      <c r="E969" s="5"/>
      <c r="F969" s="6"/>
      <c r="G969" s="7"/>
      <c r="H969" s="8"/>
      <c r="I969" s="5"/>
      <c r="J969" s="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x14ac:dyDescent="0.45">
      <c r="A970" s="2"/>
      <c r="B970" s="2"/>
      <c r="C970" s="3"/>
      <c r="D970" s="4"/>
      <c r="E970" s="5"/>
      <c r="F970" s="6"/>
      <c r="G970" s="7"/>
      <c r="H970" s="8"/>
      <c r="I970" s="5"/>
      <c r="J970" s="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x14ac:dyDescent="0.45">
      <c r="A971" s="2"/>
      <c r="B971" s="2"/>
      <c r="C971" s="3"/>
      <c r="D971" s="4"/>
      <c r="E971" s="5"/>
      <c r="F971" s="6"/>
      <c r="G971" s="7"/>
      <c r="H971" s="8"/>
      <c r="I971" s="5"/>
      <c r="J971" s="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x14ac:dyDescent="0.45">
      <c r="A972" s="2"/>
      <c r="B972" s="2"/>
      <c r="C972" s="3"/>
      <c r="D972" s="4"/>
      <c r="E972" s="5"/>
      <c r="F972" s="6"/>
      <c r="G972" s="7"/>
      <c r="H972" s="8"/>
      <c r="I972" s="5"/>
      <c r="J972" s="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x14ac:dyDescent="0.45">
      <c r="A973" s="2"/>
      <c r="B973" s="2"/>
      <c r="C973" s="3"/>
      <c r="D973" s="4"/>
      <c r="E973" s="5"/>
      <c r="F973" s="6"/>
      <c r="G973" s="7"/>
      <c r="H973" s="8"/>
      <c r="I973" s="5"/>
      <c r="J973" s="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x14ac:dyDescent="0.45">
      <c r="A974" s="2"/>
      <c r="B974" s="2"/>
      <c r="C974" s="3"/>
      <c r="D974" s="4"/>
      <c r="E974" s="5"/>
      <c r="F974" s="6"/>
      <c r="G974" s="7"/>
      <c r="H974" s="8"/>
      <c r="I974" s="5"/>
      <c r="J974" s="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x14ac:dyDescent="0.45">
      <c r="A975" s="2"/>
      <c r="B975" s="2"/>
      <c r="C975" s="3"/>
      <c r="D975" s="4"/>
      <c r="E975" s="5"/>
      <c r="F975" s="6"/>
      <c r="G975" s="7"/>
      <c r="H975" s="8"/>
      <c r="I975" s="5"/>
      <c r="J975" s="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x14ac:dyDescent="0.45">
      <c r="A976" s="2"/>
      <c r="B976" s="2"/>
      <c r="C976" s="3"/>
      <c r="D976" s="4"/>
      <c r="E976" s="5"/>
      <c r="F976" s="6"/>
      <c r="G976" s="7"/>
      <c r="H976" s="8"/>
      <c r="I976" s="5"/>
      <c r="J976" s="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x14ac:dyDescent="0.45">
      <c r="A977" s="2"/>
      <c r="B977" s="2"/>
      <c r="C977" s="3"/>
      <c r="D977" s="4"/>
      <c r="E977" s="5"/>
      <c r="F977" s="6"/>
      <c r="G977" s="7"/>
      <c r="H977" s="8"/>
      <c r="I977" s="5"/>
      <c r="J977" s="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x14ac:dyDescent="0.45">
      <c r="A978" s="2"/>
      <c r="B978" s="2"/>
      <c r="C978" s="3"/>
      <c r="D978" s="4"/>
      <c r="E978" s="5"/>
      <c r="F978" s="6"/>
      <c r="G978" s="7"/>
      <c r="H978" s="8"/>
      <c r="I978" s="5"/>
      <c r="J978" s="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x14ac:dyDescent="0.45">
      <c r="A979" s="2"/>
      <c r="B979" s="2"/>
      <c r="C979" s="3"/>
      <c r="D979" s="4"/>
      <c r="E979" s="5"/>
      <c r="F979" s="6"/>
      <c r="G979" s="7"/>
      <c r="H979" s="8"/>
      <c r="I979" s="5"/>
      <c r="J979" s="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x14ac:dyDescent="0.45">
      <c r="A980" s="2"/>
      <c r="B980" s="2"/>
      <c r="C980" s="3"/>
      <c r="D980" s="4"/>
      <c r="E980" s="5"/>
      <c r="F980" s="6"/>
      <c r="G980" s="7"/>
      <c r="H980" s="8"/>
      <c r="I980" s="5"/>
      <c r="J980" s="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x14ac:dyDescent="0.45">
      <c r="A981" s="2"/>
      <c r="B981" s="2"/>
      <c r="C981" s="3"/>
      <c r="D981" s="4"/>
      <c r="E981" s="5"/>
      <c r="F981" s="6"/>
      <c r="G981" s="7"/>
      <c r="H981" s="8"/>
      <c r="I981" s="5"/>
      <c r="J981" s="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x14ac:dyDescent="0.45">
      <c r="A982" s="2"/>
      <c r="B982" s="2"/>
      <c r="C982" s="3"/>
      <c r="D982" s="4"/>
      <c r="E982" s="5"/>
      <c r="F982" s="6"/>
      <c r="G982" s="7"/>
      <c r="H982" s="8"/>
      <c r="I982" s="5"/>
      <c r="J982" s="9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x14ac:dyDescent="0.45">
      <c r="A983" s="2"/>
      <c r="B983" s="2"/>
      <c r="C983" s="3"/>
      <c r="D983" s="4"/>
      <c r="E983" s="5"/>
      <c r="F983" s="6"/>
      <c r="G983" s="7"/>
      <c r="H983" s="8"/>
      <c r="I983" s="5"/>
      <c r="J983" s="9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x14ac:dyDescent="0.45">
      <c r="A984" s="2"/>
      <c r="B984" s="2"/>
      <c r="C984" s="3"/>
      <c r="D984" s="4"/>
      <c r="E984" s="5"/>
      <c r="F984" s="6"/>
      <c r="G984" s="7"/>
      <c r="H984" s="8"/>
      <c r="I984" s="5"/>
      <c r="J984" s="9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x14ac:dyDescent="0.45">
      <c r="A985" s="2"/>
      <c r="B985" s="2"/>
      <c r="C985" s="3"/>
      <c r="D985" s="4"/>
      <c r="E985" s="5"/>
      <c r="F985" s="6"/>
      <c r="G985" s="7"/>
      <c r="H985" s="8"/>
      <c r="I985" s="5"/>
      <c r="J985" s="9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x14ac:dyDescent="0.45">
      <c r="A986" s="2"/>
      <c r="B986" s="2"/>
      <c r="C986" s="3"/>
      <c r="D986" s="4"/>
      <c r="E986" s="5"/>
      <c r="F986" s="6"/>
      <c r="G986" s="7"/>
      <c r="H986" s="8"/>
      <c r="I986" s="5"/>
      <c r="J986" s="9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x14ac:dyDescent="0.45">
      <c r="A987" s="2"/>
      <c r="B987" s="2"/>
      <c r="C987" s="3"/>
      <c r="D987" s="4"/>
      <c r="E987" s="5"/>
      <c r="F987" s="6"/>
      <c r="G987" s="7"/>
      <c r="H987" s="8"/>
      <c r="I987" s="5"/>
      <c r="J987" s="9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x14ac:dyDescent="0.45">
      <c r="A988" s="2"/>
      <c r="B988" s="2"/>
      <c r="C988" s="3"/>
      <c r="D988" s="4"/>
      <c r="E988" s="5"/>
      <c r="F988" s="6"/>
      <c r="G988" s="7"/>
      <c r="H988" s="8"/>
      <c r="I988" s="5"/>
      <c r="J988" s="9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x14ac:dyDescent="0.45">
      <c r="A989" s="2"/>
      <c r="B989" s="2"/>
      <c r="C989" s="3"/>
      <c r="D989" s="4"/>
      <c r="E989" s="5"/>
      <c r="F989" s="6"/>
      <c r="G989" s="7"/>
      <c r="H989" s="8"/>
      <c r="I989" s="5"/>
      <c r="J989" s="9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x14ac:dyDescent="0.45">
      <c r="A990" s="2"/>
      <c r="B990" s="2"/>
      <c r="C990" s="3"/>
      <c r="D990" s="4"/>
      <c r="E990" s="5"/>
      <c r="F990" s="6"/>
      <c r="G990" s="7"/>
      <c r="H990" s="8"/>
      <c r="I990" s="5"/>
      <c r="J990" s="9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x14ac:dyDescent="0.45">
      <c r="A991" s="2"/>
      <c r="B991" s="2"/>
      <c r="C991" s="3"/>
      <c r="D991" s="4"/>
      <c r="E991" s="5"/>
      <c r="F991" s="6"/>
      <c r="G991" s="7"/>
      <c r="H991" s="8"/>
      <c r="I991" s="5"/>
      <c r="J991" s="9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x14ac:dyDescent="0.45">
      <c r="A992" s="2"/>
      <c r="B992" s="2"/>
      <c r="C992" s="3"/>
      <c r="D992" s="4"/>
      <c r="E992" s="5"/>
      <c r="F992" s="6"/>
      <c r="G992" s="7"/>
      <c r="H992" s="8"/>
      <c r="I992" s="5"/>
      <c r="J992" s="9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x14ac:dyDescent="0.45">
      <c r="A993" s="2"/>
      <c r="B993" s="2"/>
      <c r="C993" s="3"/>
      <c r="D993" s="4"/>
      <c r="E993" s="5"/>
      <c r="F993" s="6"/>
      <c r="G993" s="7"/>
      <c r="H993" s="8"/>
      <c r="I993" s="5"/>
      <c r="J993" s="9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x14ac:dyDescent="0.45">
      <c r="A994" s="2"/>
      <c r="B994" s="2"/>
      <c r="C994" s="3"/>
      <c r="D994" s="4"/>
      <c r="E994" s="5"/>
      <c r="F994" s="6"/>
      <c r="G994" s="7"/>
      <c r="H994" s="8"/>
      <c r="I994" s="5"/>
      <c r="J994" s="9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x14ac:dyDescent="0.45">
      <c r="A995" s="2"/>
      <c r="B995" s="2"/>
      <c r="C995" s="3"/>
      <c r="D995" s="4"/>
      <c r="E995" s="5"/>
      <c r="F995" s="6"/>
      <c r="G995" s="7"/>
      <c r="H995" s="8"/>
      <c r="I995" s="5"/>
      <c r="J995" s="9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x14ac:dyDescent="0.45">
      <c r="A996" s="2"/>
      <c r="B996" s="2"/>
      <c r="C996" s="3"/>
      <c r="D996" s="4"/>
      <c r="E996" s="5"/>
      <c r="F996" s="6"/>
      <c r="G996" s="7"/>
      <c r="H996" s="8"/>
      <c r="I996" s="5"/>
      <c r="J996" s="9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x14ac:dyDescent="0.45">
      <c r="A997" s="2"/>
      <c r="B997" s="2"/>
      <c r="C997" s="3"/>
      <c r="D997" s="4"/>
      <c r="E997" s="5"/>
      <c r="F997" s="6"/>
      <c r="G997" s="7"/>
      <c r="H997" s="8"/>
      <c r="I997" s="5"/>
      <c r="J997" s="9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x14ac:dyDescent="0.45">
      <c r="A998" s="2"/>
      <c r="B998" s="2"/>
      <c r="C998" s="3"/>
      <c r="D998" s="4"/>
      <c r="E998" s="5"/>
      <c r="F998" s="6"/>
      <c r="G998" s="7"/>
      <c r="H998" s="8"/>
      <c r="I998" s="5"/>
      <c r="J998" s="9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x14ac:dyDescent="0.45">
      <c r="A999" s="2"/>
      <c r="B999" s="2"/>
      <c r="C999" s="3"/>
      <c r="D999" s="4"/>
      <c r="E999" s="5"/>
      <c r="F999" s="6"/>
      <c r="G999" s="7"/>
      <c r="H999" s="8"/>
      <c r="I999" s="5"/>
      <c r="J999" s="9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x14ac:dyDescent="0.45">
      <c r="A1000" s="2"/>
      <c r="B1000" s="2"/>
      <c r="C1000" s="3"/>
      <c r="D1000" s="4"/>
      <c r="E1000" s="5"/>
      <c r="F1000" s="6"/>
      <c r="G1000" s="7"/>
      <c r="H1000" s="8"/>
      <c r="I1000" s="5"/>
      <c r="J1000" s="9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L1" sqref="L1"/>
    </sheetView>
  </sheetViews>
  <sheetFormatPr defaultColWidth="12.61328125" defaultRowHeight="15.75" customHeight="1" x14ac:dyDescent="0.45"/>
  <cols>
    <col min="1" max="1" width="18.53515625" style="25" customWidth="1"/>
  </cols>
  <sheetData>
    <row r="1" spans="1:26" ht="15.75" customHeight="1" x14ac:dyDescent="0.45">
      <c r="A1" s="24" t="s">
        <v>104</v>
      </c>
      <c r="B1" s="2" t="s">
        <v>326</v>
      </c>
      <c r="C1" s="10" t="s">
        <v>327</v>
      </c>
      <c r="D1" s="4" t="s">
        <v>328</v>
      </c>
      <c r="E1" s="5" t="s">
        <v>329</v>
      </c>
      <c r="F1" s="6" t="s">
        <v>330</v>
      </c>
      <c r="G1" s="7" t="s">
        <v>331</v>
      </c>
      <c r="H1" s="11" t="s">
        <v>332</v>
      </c>
      <c r="I1" s="31" t="s">
        <v>1604</v>
      </c>
      <c r="J1" s="32" t="s">
        <v>1605</v>
      </c>
      <c r="K1" s="18" t="s">
        <v>326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5">
      <c r="A2" s="25" t="s">
        <v>490</v>
      </c>
      <c r="B2" s="2" t="s">
        <v>333</v>
      </c>
      <c r="C2" s="10">
        <v>2188472</v>
      </c>
      <c r="D2" s="4" t="str">
        <f t="shared" ref="D2:J2" si="0">DEC2HEX(HEX2DEC(C2)+896,7)</f>
        <v>21887F2</v>
      </c>
      <c r="E2" s="5" t="str">
        <f t="shared" si="0"/>
        <v>2188B72</v>
      </c>
      <c r="F2" s="6" t="str">
        <f t="shared" si="0"/>
        <v>2188EF2</v>
      </c>
      <c r="G2" s="20" t="str">
        <f>DEC2HEX(HEX2DEC(C2)+25040,7)</f>
        <v>218E642</v>
      </c>
      <c r="H2" s="23" t="str">
        <f t="shared" si="0"/>
        <v>218E9C2</v>
      </c>
      <c r="I2" s="21" t="str">
        <f t="shared" si="0"/>
        <v>218ED42</v>
      </c>
      <c r="J2" s="22" t="str">
        <f t="shared" si="0"/>
        <v>218F0C2</v>
      </c>
      <c r="K2" s="18" t="s">
        <v>1541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5">
      <c r="A3" s="25" t="s">
        <v>491</v>
      </c>
      <c r="B3" s="2" t="s">
        <v>335</v>
      </c>
      <c r="C3" s="10" t="str">
        <f t="shared" ref="C3:J4" si="1">DEC2HEX(HEX2DEC(C2)+14,7)</f>
        <v>2188480</v>
      </c>
      <c r="D3" s="4" t="str">
        <f t="shared" si="1"/>
        <v>2188800</v>
      </c>
      <c r="E3" s="5" t="str">
        <f t="shared" si="1"/>
        <v>2188B80</v>
      </c>
      <c r="F3" s="6" t="str">
        <f t="shared" si="1"/>
        <v>2188F00</v>
      </c>
      <c r="G3" s="20" t="str">
        <f t="shared" si="1"/>
        <v>218E650</v>
      </c>
      <c r="H3" s="23" t="str">
        <f t="shared" si="1"/>
        <v>218E9D0</v>
      </c>
      <c r="I3" s="21" t="str">
        <f t="shared" si="1"/>
        <v>218ED50</v>
      </c>
      <c r="J3" s="22" t="str">
        <f t="shared" si="1"/>
        <v>218F0D0</v>
      </c>
      <c r="K3" s="18" t="s">
        <v>1542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5">
      <c r="A4" s="25" t="s">
        <v>492</v>
      </c>
      <c r="B4" s="2" t="s">
        <v>336</v>
      </c>
      <c r="C4" s="10" t="str">
        <f t="shared" ref="C4:F4" si="2">DEC2HEX(HEX2DEC(C3)+14,7)</f>
        <v>218848E</v>
      </c>
      <c r="D4" s="4" t="str">
        <f t="shared" si="2"/>
        <v>218880E</v>
      </c>
      <c r="E4" s="5" t="str">
        <f t="shared" si="2"/>
        <v>2188B8E</v>
      </c>
      <c r="F4" s="6" t="str">
        <f t="shared" si="2"/>
        <v>2188F0E</v>
      </c>
      <c r="G4" s="20" t="str">
        <f t="shared" si="1"/>
        <v>218E65E</v>
      </c>
      <c r="H4" s="23" t="str">
        <f t="shared" ref="H4:J4" si="3">DEC2HEX(HEX2DEC(H3)+14,7)</f>
        <v>218E9DE</v>
      </c>
      <c r="I4" s="21" t="str">
        <f t="shared" si="3"/>
        <v>218ED5E</v>
      </c>
      <c r="J4" s="22" t="str">
        <f t="shared" si="3"/>
        <v>218F0DE</v>
      </c>
      <c r="K4" s="18" t="s">
        <v>1543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5">
      <c r="B5" s="2" t="s">
        <v>337</v>
      </c>
      <c r="C5" s="10" t="str">
        <f t="shared" ref="C5:J5" si="4">DEC2HEX(HEX2DEC(C4)+14,7)</f>
        <v>218849C</v>
      </c>
      <c r="D5" s="4" t="str">
        <f t="shared" si="4"/>
        <v>218881C</v>
      </c>
      <c r="E5" s="5" t="str">
        <f t="shared" si="4"/>
        <v>2188B9C</v>
      </c>
      <c r="F5" s="6" t="str">
        <f t="shared" si="4"/>
        <v>2188F1C</v>
      </c>
      <c r="G5" s="20" t="str">
        <f t="shared" si="4"/>
        <v>218E66C</v>
      </c>
      <c r="H5" s="23" t="str">
        <f t="shared" si="4"/>
        <v>218E9EC</v>
      </c>
      <c r="I5" s="21" t="str">
        <f t="shared" si="4"/>
        <v>218ED6C</v>
      </c>
      <c r="J5" s="22" t="str">
        <f t="shared" si="4"/>
        <v>218F0EC</v>
      </c>
      <c r="K5" s="18" t="s">
        <v>1544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5">
      <c r="A6" s="25" t="s">
        <v>493</v>
      </c>
      <c r="B6" s="2" t="s">
        <v>338</v>
      </c>
      <c r="C6" s="10" t="str">
        <f t="shared" ref="C6:J19" si="5">DEC2HEX(HEX2DEC(C5)+14,7)</f>
        <v>21884AA</v>
      </c>
      <c r="D6" s="4" t="str">
        <f t="shared" si="5"/>
        <v>218882A</v>
      </c>
      <c r="E6" s="5" t="str">
        <f t="shared" si="5"/>
        <v>2188BAA</v>
      </c>
      <c r="F6" s="6" t="str">
        <f t="shared" si="5"/>
        <v>2188F2A</v>
      </c>
      <c r="G6" s="20" t="str">
        <f t="shared" si="5"/>
        <v>218E67A</v>
      </c>
      <c r="H6" s="23" t="str">
        <f t="shared" si="5"/>
        <v>218E9FA</v>
      </c>
      <c r="I6" s="21" t="str">
        <f t="shared" si="5"/>
        <v>218ED7A</v>
      </c>
      <c r="J6" s="22" t="str">
        <f t="shared" si="5"/>
        <v>218F0FA</v>
      </c>
      <c r="K6" s="18" t="s">
        <v>1545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5">
      <c r="A7" s="25" t="s">
        <v>494</v>
      </c>
      <c r="B7" s="2" t="s">
        <v>339</v>
      </c>
      <c r="C7" s="10" t="str">
        <f t="shared" ref="C7:G7" si="6">DEC2HEX(HEX2DEC(C6)+14,7)</f>
        <v>21884B8</v>
      </c>
      <c r="D7" s="4" t="str">
        <f t="shared" si="6"/>
        <v>2188838</v>
      </c>
      <c r="E7" s="5" t="str">
        <f t="shared" si="6"/>
        <v>2188BB8</v>
      </c>
      <c r="F7" s="6" t="str">
        <f t="shared" si="6"/>
        <v>2188F38</v>
      </c>
      <c r="G7" s="20" t="str">
        <f t="shared" si="6"/>
        <v>218E688</v>
      </c>
      <c r="H7" s="23" t="str">
        <f t="shared" si="5"/>
        <v>218EA08</v>
      </c>
      <c r="I7" s="21" t="str">
        <f t="shared" si="5"/>
        <v>218ED88</v>
      </c>
      <c r="J7" s="22" t="str">
        <f t="shared" si="5"/>
        <v>218F108</v>
      </c>
      <c r="K7" s="18" t="s">
        <v>1546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5">
      <c r="B8" s="2" t="s">
        <v>340</v>
      </c>
      <c r="C8" s="10" t="str">
        <f t="shared" ref="C8:J8" si="7">DEC2HEX(HEX2DEC(C7)+14,7)</f>
        <v>21884C6</v>
      </c>
      <c r="D8" s="4" t="str">
        <f t="shared" si="7"/>
        <v>2188846</v>
      </c>
      <c r="E8" s="5" t="str">
        <f t="shared" si="7"/>
        <v>2188BC6</v>
      </c>
      <c r="F8" s="6" t="str">
        <f t="shared" si="7"/>
        <v>2188F46</v>
      </c>
      <c r="G8" s="20" t="str">
        <f t="shared" si="7"/>
        <v>218E696</v>
      </c>
      <c r="H8" s="23" t="str">
        <f t="shared" si="7"/>
        <v>218EA16</v>
      </c>
      <c r="I8" s="21" t="str">
        <f t="shared" si="7"/>
        <v>218ED96</v>
      </c>
      <c r="J8" s="22" t="str">
        <f t="shared" si="7"/>
        <v>218F116</v>
      </c>
      <c r="K8" s="18" t="s">
        <v>1547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5">
      <c r="A9" s="25" t="s">
        <v>495</v>
      </c>
      <c r="B9" s="2" t="s">
        <v>341</v>
      </c>
      <c r="C9" s="10" t="str">
        <f t="shared" ref="C9:J9" si="8">DEC2HEX(HEX2DEC(C8)+14,7)</f>
        <v>21884D4</v>
      </c>
      <c r="D9" s="4" t="str">
        <f t="shared" si="8"/>
        <v>2188854</v>
      </c>
      <c r="E9" s="5" t="str">
        <f t="shared" si="8"/>
        <v>2188BD4</v>
      </c>
      <c r="F9" s="6" t="str">
        <f t="shared" si="8"/>
        <v>2188F54</v>
      </c>
      <c r="G9" s="20" t="str">
        <f t="shared" si="8"/>
        <v>218E6A4</v>
      </c>
      <c r="H9" s="23" t="str">
        <f t="shared" si="8"/>
        <v>218EA24</v>
      </c>
      <c r="I9" s="21" t="str">
        <f t="shared" si="8"/>
        <v>218EDA4</v>
      </c>
      <c r="J9" s="22" t="str">
        <f t="shared" si="8"/>
        <v>218F124</v>
      </c>
      <c r="K9" s="18" t="s">
        <v>1548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5">
      <c r="A10" s="25" t="s">
        <v>496</v>
      </c>
      <c r="B10" s="2" t="s">
        <v>342</v>
      </c>
      <c r="C10" s="10" t="str">
        <f t="shared" ref="C10:G10" si="9">DEC2HEX(HEX2DEC(C9)+14,7)</f>
        <v>21884E2</v>
      </c>
      <c r="D10" s="4" t="str">
        <f t="shared" si="9"/>
        <v>2188862</v>
      </c>
      <c r="E10" s="5" t="str">
        <f t="shared" si="9"/>
        <v>2188BE2</v>
      </c>
      <c r="F10" s="6" t="str">
        <f t="shared" si="9"/>
        <v>2188F62</v>
      </c>
      <c r="G10" s="20" t="str">
        <f t="shared" si="9"/>
        <v>218E6B2</v>
      </c>
      <c r="H10" s="23" t="str">
        <f t="shared" si="5"/>
        <v>218EA32</v>
      </c>
      <c r="I10" s="21" t="str">
        <f t="shared" si="5"/>
        <v>218EDB2</v>
      </c>
      <c r="J10" s="22" t="str">
        <f t="shared" si="5"/>
        <v>218F132</v>
      </c>
      <c r="K10" s="18" t="s">
        <v>1549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5">
      <c r="A11" s="25" t="s">
        <v>497</v>
      </c>
      <c r="B11" s="2" t="s">
        <v>343</v>
      </c>
      <c r="C11" s="10" t="str">
        <f t="shared" ref="C11:J11" si="10">DEC2HEX(HEX2DEC(C10)+14,7)</f>
        <v>21884F0</v>
      </c>
      <c r="D11" s="4" t="str">
        <f t="shared" si="10"/>
        <v>2188870</v>
      </c>
      <c r="E11" s="5" t="str">
        <f t="shared" si="10"/>
        <v>2188BF0</v>
      </c>
      <c r="F11" s="6" t="str">
        <f t="shared" si="10"/>
        <v>2188F70</v>
      </c>
      <c r="G11" s="20" t="str">
        <f t="shared" si="10"/>
        <v>218E6C0</v>
      </c>
      <c r="H11" s="23" t="str">
        <f t="shared" si="10"/>
        <v>218EA40</v>
      </c>
      <c r="I11" s="21" t="str">
        <f t="shared" si="10"/>
        <v>218EDC0</v>
      </c>
      <c r="J11" s="22" t="str">
        <f t="shared" si="10"/>
        <v>218F140</v>
      </c>
      <c r="K11" s="18" t="s">
        <v>1550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5">
      <c r="A12" s="25" t="s">
        <v>498</v>
      </c>
      <c r="B12" s="2" t="s">
        <v>344</v>
      </c>
      <c r="C12" s="10" t="str">
        <f t="shared" ref="C12:J12" si="11">DEC2HEX(HEX2DEC(C11)+14,7)</f>
        <v>21884FE</v>
      </c>
      <c r="D12" s="4" t="str">
        <f t="shared" si="11"/>
        <v>218887E</v>
      </c>
      <c r="E12" s="5" t="str">
        <f t="shared" si="11"/>
        <v>2188BFE</v>
      </c>
      <c r="F12" s="6" t="str">
        <f t="shared" si="11"/>
        <v>2188F7E</v>
      </c>
      <c r="G12" s="20" t="str">
        <f t="shared" si="11"/>
        <v>218E6CE</v>
      </c>
      <c r="H12" s="23" t="str">
        <f t="shared" si="11"/>
        <v>218EA4E</v>
      </c>
      <c r="I12" s="21" t="str">
        <f t="shared" si="11"/>
        <v>218EDCE</v>
      </c>
      <c r="J12" s="22" t="str">
        <f t="shared" si="11"/>
        <v>218F14E</v>
      </c>
      <c r="K12" s="18" t="s">
        <v>1551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5">
      <c r="B13" s="2" t="s">
        <v>345</v>
      </c>
      <c r="C13" s="10" t="str">
        <f t="shared" ref="C13:G13" si="12">DEC2HEX(HEX2DEC(C12)+14,7)</f>
        <v>218850C</v>
      </c>
      <c r="D13" s="4" t="str">
        <f t="shared" si="12"/>
        <v>218888C</v>
      </c>
      <c r="E13" s="5" t="str">
        <f t="shared" si="12"/>
        <v>2188C0C</v>
      </c>
      <c r="F13" s="6" t="str">
        <f t="shared" si="12"/>
        <v>2188F8C</v>
      </c>
      <c r="G13" s="20" t="str">
        <f t="shared" si="12"/>
        <v>218E6DC</v>
      </c>
      <c r="H13" s="23" t="str">
        <f t="shared" si="5"/>
        <v>218EA5C</v>
      </c>
      <c r="I13" s="21" t="str">
        <f t="shared" si="5"/>
        <v>218EDDC</v>
      </c>
      <c r="J13" s="22" t="str">
        <f t="shared" si="5"/>
        <v>218F15C</v>
      </c>
      <c r="K13" s="18" t="s">
        <v>1552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5">
      <c r="A14" s="25" t="s">
        <v>499</v>
      </c>
      <c r="B14" s="2" t="s">
        <v>346</v>
      </c>
      <c r="C14" s="10" t="str">
        <f t="shared" ref="C14:J14" si="13">DEC2HEX(HEX2DEC(C13)+14,7)</f>
        <v>218851A</v>
      </c>
      <c r="D14" s="4" t="str">
        <f t="shared" si="13"/>
        <v>218889A</v>
      </c>
      <c r="E14" s="5" t="str">
        <f t="shared" si="13"/>
        <v>2188C1A</v>
      </c>
      <c r="F14" s="6" t="str">
        <f t="shared" si="13"/>
        <v>2188F9A</v>
      </c>
      <c r="G14" s="20" t="str">
        <f t="shared" si="13"/>
        <v>218E6EA</v>
      </c>
      <c r="H14" s="23" t="str">
        <f t="shared" si="13"/>
        <v>218EA6A</v>
      </c>
      <c r="I14" s="21" t="str">
        <f t="shared" si="13"/>
        <v>218EDEA</v>
      </c>
      <c r="J14" s="22" t="str">
        <f t="shared" si="13"/>
        <v>218F16A</v>
      </c>
      <c r="K14" s="18" t="s">
        <v>1553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5">
      <c r="A15" s="25" t="s">
        <v>500</v>
      </c>
      <c r="B15" s="2" t="s">
        <v>347</v>
      </c>
      <c r="C15" s="10" t="str">
        <f t="shared" ref="C15:J15" si="14">DEC2HEX(HEX2DEC(C14)+14,7)</f>
        <v>2188528</v>
      </c>
      <c r="D15" s="4" t="str">
        <f t="shared" si="14"/>
        <v>21888A8</v>
      </c>
      <c r="E15" s="5" t="str">
        <f t="shared" si="14"/>
        <v>2188C28</v>
      </c>
      <c r="F15" s="6" t="str">
        <f t="shared" si="14"/>
        <v>2188FA8</v>
      </c>
      <c r="G15" s="20" t="str">
        <f t="shared" si="14"/>
        <v>218E6F8</v>
      </c>
      <c r="H15" s="23" t="str">
        <f t="shared" si="14"/>
        <v>218EA78</v>
      </c>
      <c r="I15" s="21" t="str">
        <f t="shared" si="14"/>
        <v>218EDF8</v>
      </c>
      <c r="J15" s="22" t="str">
        <f t="shared" si="14"/>
        <v>218F178</v>
      </c>
      <c r="K15" s="18" t="s">
        <v>1554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5">
      <c r="A16" s="25" t="s">
        <v>501</v>
      </c>
      <c r="B16" s="2" t="s">
        <v>348</v>
      </c>
      <c r="C16" s="10" t="str">
        <f t="shared" ref="C16:G16" si="15">DEC2HEX(HEX2DEC(C15)+14,7)</f>
        <v>2188536</v>
      </c>
      <c r="D16" s="4" t="str">
        <f t="shared" si="15"/>
        <v>21888B6</v>
      </c>
      <c r="E16" s="5" t="str">
        <f t="shared" si="15"/>
        <v>2188C36</v>
      </c>
      <c r="F16" s="6" t="str">
        <f t="shared" si="15"/>
        <v>2188FB6</v>
      </c>
      <c r="G16" s="20" t="str">
        <f t="shared" si="15"/>
        <v>218E706</v>
      </c>
      <c r="H16" s="23" t="str">
        <f t="shared" si="5"/>
        <v>218EA86</v>
      </c>
      <c r="I16" s="21" t="str">
        <f t="shared" si="5"/>
        <v>218EE06</v>
      </c>
      <c r="J16" s="22" t="str">
        <f t="shared" si="5"/>
        <v>218F186</v>
      </c>
      <c r="K16" s="18" t="s">
        <v>1555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5">
      <c r="A17" s="25" t="s">
        <v>502</v>
      </c>
      <c r="B17" s="2" t="s">
        <v>349</v>
      </c>
      <c r="C17" s="10" t="str">
        <f t="shared" ref="C17:J17" si="16">DEC2HEX(HEX2DEC(C16)+14,7)</f>
        <v>2188544</v>
      </c>
      <c r="D17" s="4" t="str">
        <f t="shared" si="16"/>
        <v>21888C4</v>
      </c>
      <c r="E17" s="5" t="str">
        <f t="shared" si="16"/>
        <v>2188C44</v>
      </c>
      <c r="F17" s="6" t="str">
        <f t="shared" si="16"/>
        <v>2188FC4</v>
      </c>
      <c r="G17" s="20" t="str">
        <f t="shared" si="16"/>
        <v>218E714</v>
      </c>
      <c r="H17" s="23" t="str">
        <f t="shared" si="16"/>
        <v>218EA94</v>
      </c>
      <c r="I17" s="21" t="str">
        <f t="shared" si="16"/>
        <v>218EE14</v>
      </c>
      <c r="J17" s="22" t="str">
        <f t="shared" si="16"/>
        <v>218F194</v>
      </c>
      <c r="K17" s="18" t="s">
        <v>1556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5">
      <c r="B18" s="2" t="s">
        <v>350</v>
      </c>
      <c r="C18" s="10" t="str">
        <f t="shared" ref="C18:J18" si="17">DEC2HEX(HEX2DEC(C17)+14,7)</f>
        <v>2188552</v>
      </c>
      <c r="D18" s="4" t="str">
        <f t="shared" si="17"/>
        <v>21888D2</v>
      </c>
      <c r="E18" s="5" t="str">
        <f t="shared" si="17"/>
        <v>2188C52</v>
      </c>
      <c r="F18" s="6" t="str">
        <f t="shared" si="17"/>
        <v>2188FD2</v>
      </c>
      <c r="G18" s="20" t="str">
        <f t="shared" si="17"/>
        <v>218E722</v>
      </c>
      <c r="H18" s="23" t="str">
        <f t="shared" si="17"/>
        <v>218EAA2</v>
      </c>
      <c r="I18" s="21" t="str">
        <f t="shared" si="17"/>
        <v>218EE22</v>
      </c>
      <c r="J18" s="22" t="str">
        <f t="shared" si="17"/>
        <v>218F1A2</v>
      </c>
      <c r="K18" s="18" t="s">
        <v>1557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5">
      <c r="A19" s="25" t="s">
        <v>506</v>
      </c>
      <c r="B19" s="2" t="s">
        <v>351</v>
      </c>
      <c r="C19" s="10" t="str">
        <f t="shared" ref="C19:G19" si="18">DEC2HEX(HEX2DEC(C18)+14,7)</f>
        <v>2188560</v>
      </c>
      <c r="D19" s="4" t="str">
        <f t="shared" si="18"/>
        <v>21888E0</v>
      </c>
      <c r="E19" s="5" t="str">
        <f t="shared" si="18"/>
        <v>2188C60</v>
      </c>
      <c r="F19" s="6" t="str">
        <f t="shared" si="18"/>
        <v>2188FE0</v>
      </c>
      <c r="G19" s="20" t="str">
        <f t="shared" si="18"/>
        <v>218E730</v>
      </c>
      <c r="H19" s="23" t="str">
        <f t="shared" si="5"/>
        <v>218EAB0</v>
      </c>
      <c r="I19" s="21" t="str">
        <f t="shared" si="5"/>
        <v>218EE30</v>
      </c>
      <c r="J19" s="22" t="str">
        <f t="shared" si="5"/>
        <v>218F1B0</v>
      </c>
      <c r="K19" s="18" t="s">
        <v>1558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5">
      <c r="A20" s="25" t="s">
        <v>503</v>
      </c>
      <c r="B20" s="2" t="s">
        <v>352</v>
      </c>
      <c r="C20" s="10" t="str">
        <f t="shared" ref="C20:J20" si="19">DEC2HEX(HEX2DEC(C19)+14,7)</f>
        <v>218856E</v>
      </c>
      <c r="D20" s="4" t="str">
        <f t="shared" si="19"/>
        <v>21888EE</v>
      </c>
      <c r="E20" s="5" t="str">
        <f t="shared" si="19"/>
        <v>2188C6E</v>
      </c>
      <c r="F20" s="6" t="str">
        <f t="shared" si="19"/>
        <v>2188FEE</v>
      </c>
      <c r="G20" s="20" t="str">
        <f t="shared" si="19"/>
        <v>218E73E</v>
      </c>
      <c r="H20" s="23" t="str">
        <f t="shared" si="19"/>
        <v>218EABE</v>
      </c>
      <c r="I20" s="21" t="str">
        <f t="shared" si="19"/>
        <v>218EE3E</v>
      </c>
      <c r="J20" s="22" t="str">
        <f t="shared" si="19"/>
        <v>218F1BE</v>
      </c>
      <c r="K20" s="18" t="s">
        <v>1559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5">
      <c r="B21" s="2" t="s">
        <v>353</v>
      </c>
      <c r="C21" s="10" t="str">
        <f t="shared" ref="C21:J34" si="20">DEC2HEX(HEX2DEC(C20)+14,7)</f>
        <v>218857C</v>
      </c>
      <c r="D21" s="4" t="str">
        <f t="shared" si="20"/>
        <v>21888FC</v>
      </c>
      <c r="E21" s="5" t="str">
        <f t="shared" si="20"/>
        <v>2188C7C</v>
      </c>
      <c r="F21" s="6" t="str">
        <f t="shared" si="20"/>
        <v>2188FFC</v>
      </c>
      <c r="G21" s="20" t="str">
        <f t="shared" si="20"/>
        <v>218E74C</v>
      </c>
      <c r="H21" s="23" t="str">
        <f t="shared" si="20"/>
        <v>218EACC</v>
      </c>
      <c r="I21" s="21" t="str">
        <f t="shared" si="20"/>
        <v>218EE4C</v>
      </c>
      <c r="J21" s="22" t="str">
        <f t="shared" si="20"/>
        <v>218F1CC</v>
      </c>
      <c r="K21" s="18" t="s">
        <v>1560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5">
      <c r="A22" s="25" t="s">
        <v>505</v>
      </c>
      <c r="B22" s="2" t="s">
        <v>354</v>
      </c>
      <c r="C22" s="10" t="str">
        <f t="shared" ref="C22:G22" si="21">DEC2HEX(HEX2DEC(C21)+14,7)</f>
        <v>218858A</v>
      </c>
      <c r="D22" s="4" t="str">
        <f t="shared" si="21"/>
        <v>218890A</v>
      </c>
      <c r="E22" s="5" t="str">
        <f t="shared" si="21"/>
        <v>2188C8A</v>
      </c>
      <c r="F22" s="6" t="str">
        <f t="shared" si="21"/>
        <v>218900A</v>
      </c>
      <c r="G22" s="20" t="str">
        <f t="shared" si="21"/>
        <v>218E75A</v>
      </c>
      <c r="H22" s="23" t="str">
        <f t="shared" si="20"/>
        <v>218EADA</v>
      </c>
      <c r="I22" s="21" t="str">
        <f t="shared" si="20"/>
        <v>218EE5A</v>
      </c>
      <c r="J22" s="22" t="str">
        <f t="shared" si="20"/>
        <v>218F1DA</v>
      </c>
      <c r="K22" s="18" t="s">
        <v>1561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5">
      <c r="A23" s="25" t="s">
        <v>504</v>
      </c>
      <c r="B23" s="2" t="s">
        <v>355</v>
      </c>
      <c r="C23" s="10" t="str">
        <f t="shared" ref="C23:J23" si="22">DEC2HEX(HEX2DEC(C22)+14,7)</f>
        <v>2188598</v>
      </c>
      <c r="D23" s="4" t="str">
        <f t="shared" si="22"/>
        <v>2188918</v>
      </c>
      <c r="E23" s="5" t="str">
        <f t="shared" si="22"/>
        <v>2188C98</v>
      </c>
      <c r="F23" s="6" t="str">
        <f t="shared" si="22"/>
        <v>2189018</v>
      </c>
      <c r="G23" s="20" t="str">
        <f t="shared" si="22"/>
        <v>218E768</v>
      </c>
      <c r="H23" s="23" t="str">
        <f t="shared" si="22"/>
        <v>218EAE8</v>
      </c>
      <c r="I23" s="21" t="str">
        <f t="shared" si="22"/>
        <v>218EE68</v>
      </c>
      <c r="J23" s="22" t="str">
        <f t="shared" si="22"/>
        <v>218F1E8</v>
      </c>
      <c r="K23" s="18" t="s">
        <v>1562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5">
      <c r="B24" s="2" t="s">
        <v>356</v>
      </c>
      <c r="C24" s="10" t="str">
        <f t="shared" ref="C24:J24" si="23">DEC2HEX(HEX2DEC(C23)+14,7)</f>
        <v>21885A6</v>
      </c>
      <c r="D24" s="4" t="str">
        <f t="shared" si="23"/>
        <v>2188926</v>
      </c>
      <c r="E24" s="5" t="str">
        <f t="shared" si="23"/>
        <v>2188CA6</v>
      </c>
      <c r="F24" s="6" t="str">
        <f t="shared" si="23"/>
        <v>2189026</v>
      </c>
      <c r="G24" s="20" t="str">
        <f t="shared" si="23"/>
        <v>218E776</v>
      </c>
      <c r="H24" s="23" t="str">
        <f t="shared" si="23"/>
        <v>218EAF6</v>
      </c>
      <c r="I24" s="21" t="str">
        <f t="shared" si="23"/>
        <v>218EE76</v>
      </c>
      <c r="J24" s="22" t="str">
        <f t="shared" si="23"/>
        <v>218F1F6</v>
      </c>
      <c r="K24" s="18" t="s">
        <v>1563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5">
      <c r="A25" s="25" t="s">
        <v>507</v>
      </c>
      <c r="B25" s="2" t="s">
        <v>357</v>
      </c>
      <c r="C25" s="10" t="str">
        <f t="shared" ref="C25:G25" si="24">DEC2HEX(HEX2DEC(C24)+14,7)</f>
        <v>21885B4</v>
      </c>
      <c r="D25" s="4" t="str">
        <f t="shared" si="24"/>
        <v>2188934</v>
      </c>
      <c r="E25" s="5" t="str">
        <f t="shared" si="24"/>
        <v>2188CB4</v>
      </c>
      <c r="F25" s="6" t="str">
        <f t="shared" si="24"/>
        <v>2189034</v>
      </c>
      <c r="G25" s="20" t="str">
        <f t="shared" si="24"/>
        <v>218E784</v>
      </c>
      <c r="H25" s="23" t="str">
        <f t="shared" si="20"/>
        <v>218EB04</v>
      </c>
      <c r="I25" s="21" t="str">
        <f t="shared" si="20"/>
        <v>218EE84</v>
      </c>
      <c r="J25" s="22" t="str">
        <f t="shared" si="20"/>
        <v>218F204</v>
      </c>
      <c r="K25" s="18" t="s">
        <v>1564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5">
      <c r="A26" s="25" t="s">
        <v>508</v>
      </c>
      <c r="B26" s="2" t="s">
        <v>358</v>
      </c>
      <c r="C26" s="10" t="str">
        <f t="shared" ref="C26:J26" si="25">DEC2HEX(HEX2DEC(C25)+14,7)</f>
        <v>21885C2</v>
      </c>
      <c r="D26" s="4" t="str">
        <f t="shared" si="25"/>
        <v>2188942</v>
      </c>
      <c r="E26" s="5" t="str">
        <f t="shared" si="25"/>
        <v>2188CC2</v>
      </c>
      <c r="F26" s="6" t="str">
        <f t="shared" si="25"/>
        <v>2189042</v>
      </c>
      <c r="G26" s="20" t="str">
        <f t="shared" si="25"/>
        <v>218E792</v>
      </c>
      <c r="H26" s="23" t="str">
        <f t="shared" si="25"/>
        <v>218EB12</v>
      </c>
      <c r="I26" s="21" t="str">
        <f t="shared" si="25"/>
        <v>218EE92</v>
      </c>
      <c r="J26" s="22" t="str">
        <f t="shared" si="25"/>
        <v>218F212</v>
      </c>
      <c r="K26" s="18" t="s">
        <v>1565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x14ac:dyDescent="0.45">
      <c r="B27" s="2" t="s">
        <v>359</v>
      </c>
      <c r="C27" s="10" t="str">
        <f t="shared" ref="C27:J27" si="26">DEC2HEX(HEX2DEC(C26)+14,7)</f>
        <v>21885D0</v>
      </c>
      <c r="D27" s="4" t="str">
        <f t="shared" si="26"/>
        <v>2188950</v>
      </c>
      <c r="E27" s="5" t="str">
        <f t="shared" si="26"/>
        <v>2188CD0</v>
      </c>
      <c r="F27" s="6" t="str">
        <f t="shared" si="26"/>
        <v>2189050</v>
      </c>
      <c r="G27" s="20" t="str">
        <f t="shared" si="26"/>
        <v>218E7A0</v>
      </c>
      <c r="H27" s="23" t="str">
        <f t="shared" si="26"/>
        <v>218EB20</v>
      </c>
      <c r="I27" s="21" t="str">
        <f t="shared" si="26"/>
        <v>218EEA0</v>
      </c>
      <c r="J27" s="22" t="str">
        <f t="shared" si="26"/>
        <v>218F220</v>
      </c>
      <c r="K27" s="18" t="s">
        <v>1586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x14ac:dyDescent="0.45">
      <c r="A28" s="25" t="s">
        <v>509</v>
      </c>
      <c r="B28" s="2" t="s">
        <v>360</v>
      </c>
      <c r="C28" s="10" t="str">
        <f t="shared" ref="C28:G28" si="27">DEC2HEX(HEX2DEC(C27)+14,7)</f>
        <v>21885DE</v>
      </c>
      <c r="D28" s="4" t="str">
        <f t="shared" si="27"/>
        <v>218895E</v>
      </c>
      <c r="E28" s="5" t="str">
        <f t="shared" si="27"/>
        <v>2188CDE</v>
      </c>
      <c r="F28" s="6" t="str">
        <f t="shared" si="27"/>
        <v>218905E</v>
      </c>
      <c r="G28" s="20" t="str">
        <f t="shared" si="27"/>
        <v>218E7AE</v>
      </c>
      <c r="H28" s="23" t="str">
        <f t="shared" si="20"/>
        <v>218EB2E</v>
      </c>
      <c r="I28" s="21" t="str">
        <f t="shared" si="20"/>
        <v>218EEAE</v>
      </c>
      <c r="J28" s="22" t="str">
        <f t="shared" si="20"/>
        <v>218F22E</v>
      </c>
      <c r="K28" s="18" t="s">
        <v>1588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x14ac:dyDescent="0.45">
      <c r="A29" s="25" t="s">
        <v>510</v>
      </c>
      <c r="B29" s="2" t="s">
        <v>361</v>
      </c>
      <c r="C29" s="10" t="str">
        <f t="shared" ref="C29:J29" si="28">DEC2HEX(HEX2DEC(C28)+14,7)</f>
        <v>21885EC</v>
      </c>
      <c r="D29" s="4" t="str">
        <f t="shared" si="28"/>
        <v>218896C</v>
      </c>
      <c r="E29" s="5" t="str">
        <f t="shared" si="28"/>
        <v>2188CEC</v>
      </c>
      <c r="F29" s="6" t="str">
        <f t="shared" si="28"/>
        <v>218906C</v>
      </c>
      <c r="G29" s="20" t="str">
        <f t="shared" si="28"/>
        <v>218E7BC</v>
      </c>
      <c r="H29" s="23" t="str">
        <f t="shared" si="28"/>
        <v>218EB3C</v>
      </c>
      <c r="I29" s="21" t="str">
        <f t="shared" si="28"/>
        <v>218EEBC</v>
      </c>
      <c r="J29" s="22" t="str">
        <f t="shared" si="28"/>
        <v>218F23C</v>
      </c>
      <c r="K29" s="18" t="s">
        <v>1589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x14ac:dyDescent="0.45">
      <c r="B30" s="2" t="s">
        <v>362</v>
      </c>
      <c r="C30" s="10" t="str">
        <f t="shared" ref="C30:J30" si="29">DEC2HEX(HEX2DEC(C29)+14,7)</f>
        <v>21885FA</v>
      </c>
      <c r="D30" s="4" t="str">
        <f t="shared" si="29"/>
        <v>218897A</v>
      </c>
      <c r="E30" s="5" t="str">
        <f t="shared" si="29"/>
        <v>2188CFA</v>
      </c>
      <c r="F30" s="6" t="str">
        <f t="shared" si="29"/>
        <v>218907A</v>
      </c>
      <c r="G30" s="20" t="str">
        <f t="shared" si="29"/>
        <v>218E7CA</v>
      </c>
      <c r="H30" s="23" t="str">
        <f t="shared" si="29"/>
        <v>218EB4A</v>
      </c>
      <c r="I30" s="21" t="str">
        <f t="shared" si="29"/>
        <v>218EECA</v>
      </c>
      <c r="J30" s="22" t="str">
        <f t="shared" si="29"/>
        <v>218F24A</v>
      </c>
      <c r="K30" s="18" t="s">
        <v>1590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x14ac:dyDescent="0.45">
      <c r="A31" s="25" t="s">
        <v>511</v>
      </c>
      <c r="B31" s="2" t="s">
        <v>363</v>
      </c>
      <c r="C31" s="10" t="str">
        <f t="shared" ref="C31:G31" si="30">DEC2HEX(HEX2DEC(C30)+14,7)</f>
        <v>2188608</v>
      </c>
      <c r="D31" s="4" t="str">
        <f t="shared" si="30"/>
        <v>2188988</v>
      </c>
      <c r="E31" s="5" t="str">
        <f t="shared" si="30"/>
        <v>2188D08</v>
      </c>
      <c r="F31" s="6" t="str">
        <f t="shared" si="30"/>
        <v>2189088</v>
      </c>
      <c r="G31" s="20" t="str">
        <f t="shared" si="30"/>
        <v>218E7D8</v>
      </c>
      <c r="H31" s="23" t="str">
        <f t="shared" si="20"/>
        <v>218EB58</v>
      </c>
      <c r="I31" s="21" t="str">
        <f t="shared" si="20"/>
        <v>218EED8</v>
      </c>
      <c r="J31" s="22" t="str">
        <f t="shared" si="20"/>
        <v>218F258</v>
      </c>
      <c r="K31" s="18" t="s">
        <v>1587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x14ac:dyDescent="0.45">
      <c r="A32" s="25" t="s">
        <v>512</v>
      </c>
      <c r="B32" s="2" t="s">
        <v>364</v>
      </c>
      <c r="C32" s="10" t="str">
        <f t="shared" ref="C32:J32" si="31">DEC2HEX(HEX2DEC(C31)+14,7)</f>
        <v>2188616</v>
      </c>
      <c r="D32" s="4" t="str">
        <f t="shared" si="31"/>
        <v>2188996</v>
      </c>
      <c r="E32" s="5" t="str">
        <f t="shared" si="31"/>
        <v>2188D16</v>
      </c>
      <c r="F32" s="6" t="str">
        <f t="shared" si="31"/>
        <v>2189096</v>
      </c>
      <c r="G32" s="20" t="str">
        <f t="shared" si="31"/>
        <v>218E7E6</v>
      </c>
      <c r="H32" s="23" t="str">
        <f t="shared" si="31"/>
        <v>218EB66</v>
      </c>
      <c r="I32" s="21" t="str">
        <f t="shared" si="31"/>
        <v>218EEE6</v>
      </c>
      <c r="J32" s="22" t="str">
        <f t="shared" si="31"/>
        <v>218F266</v>
      </c>
      <c r="K32" s="18" t="s">
        <v>1591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x14ac:dyDescent="0.45">
      <c r="B33" s="2" t="s">
        <v>365</v>
      </c>
      <c r="C33" s="10" t="str">
        <f t="shared" ref="C33:J33" si="32">DEC2HEX(HEX2DEC(C32)+14,7)</f>
        <v>2188624</v>
      </c>
      <c r="D33" s="4" t="str">
        <f t="shared" si="32"/>
        <v>21889A4</v>
      </c>
      <c r="E33" s="5" t="str">
        <f t="shared" si="32"/>
        <v>2188D24</v>
      </c>
      <c r="F33" s="6" t="str">
        <f t="shared" si="32"/>
        <v>21890A4</v>
      </c>
      <c r="G33" s="20" t="str">
        <f t="shared" si="32"/>
        <v>218E7F4</v>
      </c>
      <c r="H33" s="23" t="str">
        <f t="shared" si="32"/>
        <v>218EB74</v>
      </c>
      <c r="I33" s="21" t="str">
        <f t="shared" si="32"/>
        <v>218EEF4</v>
      </c>
      <c r="J33" s="22" t="str">
        <f t="shared" si="32"/>
        <v>218F274</v>
      </c>
      <c r="K33" s="18" t="s">
        <v>1566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x14ac:dyDescent="0.45">
      <c r="A34" s="25" t="s">
        <v>513</v>
      </c>
      <c r="B34" s="2" t="s">
        <v>366</v>
      </c>
      <c r="C34" s="10" t="str">
        <f t="shared" ref="C34:G34" si="33">DEC2HEX(HEX2DEC(C33)+14,7)</f>
        <v>2188632</v>
      </c>
      <c r="D34" s="4" t="str">
        <f t="shared" si="33"/>
        <v>21889B2</v>
      </c>
      <c r="E34" s="5" t="str">
        <f t="shared" si="33"/>
        <v>2188D32</v>
      </c>
      <c r="F34" s="6" t="str">
        <f t="shared" si="33"/>
        <v>21890B2</v>
      </c>
      <c r="G34" s="20" t="str">
        <f t="shared" si="33"/>
        <v>218E802</v>
      </c>
      <c r="H34" s="23" t="str">
        <f t="shared" si="20"/>
        <v>218EB82</v>
      </c>
      <c r="I34" s="21" t="str">
        <f t="shared" si="20"/>
        <v>218EF02</v>
      </c>
      <c r="J34" s="22" t="str">
        <f t="shared" si="20"/>
        <v>218F282</v>
      </c>
      <c r="K34" s="18" t="s">
        <v>1567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x14ac:dyDescent="0.45">
      <c r="A35" s="25" t="s">
        <v>508</v>
      </c>
      <c r="B35" s="2" t="s">
        <v>367</v>
      </c>
      <c r="C35" s="10" t="str">
        <f t="shared" ref="C35:J35" si="34">DEC2HEX(HEX2DEC(C34)+14,7)</f>
        <v>2188640</v>
      </c>
      <c r="D35" s="4" t="str">
        <f t="shared" si="34"/>
        <v>21889C0</v>
      </c>
      <c r="E35" s="5" t="str">
        <f t="shared" si="34"/>
        <v>2188D40</v>
      </c>
      <c r="F35" s="6" t="str">
        <f t="shared" si="34"/>
        <v>21890C0</v>
      </c>
      <c r="G35" s="20" t="str">
        <f t="shared" si="34"/>
        <v>218E810</v>
      </c>
      <c r="H35" s="23" t="str">
        <f t="shared" si="34"/>
        <v>218EB90</v>
      </c>
      <c r="I35" s="21" t="str">
        <f t="shared" si="34"/>
        <v>218EF10</v>
      </c>
      <c r="J35" s="22" t="str">
        <f t="shared" si="34"/>
        <v>218F290</v>
      </c>
      <c r="K35" s="18" t="s">
        <v>1568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x14ac:dyDescent="0.45">
      <c r="B36" s="2" t="s">
        <v>368</v>
      </c>
      <c r="C36" s="10" t="str">
        <f t="shared" ref="C36:J49" si="35">DEC2HEX(HEX2DEC(C35)+14,7)</f>
        <v>218864E</v>
      </c>
      <c r="D36" s="4" t="str">
        <f t="shared" si="35"/>
        <v>21889CE</v>
      </c>
      <c r="E36" s="5" t="str">
        <f t="shared" si="35"/>
        <v>2188D4E</v>
      </c>
      <c r="F36" s="6" t="str">
        <f t="shared" si="35"/>
        <v>21890CE</v>
      </c>
      <c r="G36" s="20" t="str">
        <f t="shared" si="35"/>
        <v>218E81E</v>
      </c>
      <c r="H36" s="23" t="str">
        <f t="shared" si="35"/>
        <v>218EB9E</v>
      </c>
      <c r="I36" s="21" t="str">
        <f t="shared" si="35"/>
        <v>218EF1E</v>
      </c>
      <c r="J36" s="22" t="str">
        <f t="shared" si="35"/>
        <v>218F29E</v>
      </c>
      <c r="K36" s="18" t="s">
        <v>1569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x14ac:dyDescent="0.45">
      <c r="B37" s="2" t="s">
        <v>369</v>
      </c>
      <c r="C37" s="10" t="str">
        <f t="shared" ref="C37:G37" si="36">DEC2HEX(HEX2DEC(C36)+14,7)</f>
        <v>218865C</v>
      </c>
      <c r="D37" s="4" t="str">
        <f t="shared" si="36"/>
        <v>21889DC</v>
      </c>
      <c r="E37" s="5" t="str">
        <f t="shared" si="36"/>
        <v>2188D5C</v>
      </c>
      <c r="F37" s="6" t="str">
        <f t="shared" si="36"/>
        <v>21890DC</v>
      </c>
      <c r="G37" s="20" t="str">
        <f t="shared" si="36"/>
        <v>218E82C</v>
      </c>
      <c r="H37" s="23" t="str">
        <f t="shared" si="35"/>
        <v>218EBAC</v>
      </c>
      <c r="I37" s="21" t="str">
        <f t="shared" si="35"/>
        <v>218EF2C</v>
      </c>
      <c r="J37" s="22" t="str">
        <f t="shared" si="35"/>
        <v>218F2AC</v>
      </c>
      <c r="K37" s="18" t="s">
        <v>1570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x14ac:dyDescent="0.45">
      <c r="B38" s="2" t="s">
        <v>370</v>
      </c>
      <c r="C38" s="10" t="str">
        <f t="shared" ref="C38:J38" si="37">DEC2HEX(HEX2DEC(C37)+14,7)</f>
        <v>218866A</v>
      </c>
      <c r="D38" s="4" t="str">
        <f t="shared" si="37"/>
        <v>21889EA</v>
      </c>
      <c r="E38" s="5" t="str">
        <f t="shared" si="37"/>
        <v>2188D6A</v>
      </c>
      <c r="F38" s="6" t="str">
        <f t="shared" si="37"/>
        <v>21890EA</v>
      </c>
      <c r="G38" s="20" t="str">
        <f t="shared" si="37"/>
        <v>218E83A</v>
      </c>
      <c r="H38" s="23" t="str">
        <f t="shared" si="37"/>
        <v>218EBBA</v>
      </c>
      <c r="I38" s="21" t="str">
        <f t="shared" si="37"/>
        <v>218EF3A</v>
      </c>
      <c r="J38" s="22" t="str">
        <f t="shared" si="37"/>
        <v>218F2BA</v>
      </c>
      <c r="K38" s="18" t="s">
        <v>1571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x14ac:dyDescent="0.45">
      <c r="B39" s="2" t="s">
        <v>371</v>
      </c>
      <c r="C39" s="10" t="str">
        <f t="shared" ref="C39:J39" si="38">DEC2HEX(HEX2DEC(C38)+14,7)</f>
        <v>2188678</v>
      </c>
      <c r="D39" s="4" t="str">
        <f t="shared" si="38"/>
        <v>21889F8</v>
      </c>
      <c r="E39" s="5" t="str">
        <f t="shared" si="38"/>
        <v>2188D78</v>
      </c>
      <c r="F39" s="6" t="str">
        <f t="shared" si="38"/>
        <v>21890F8</v>
      </c>
      <c r="G39" s="20" t="str">
        <f t="shared" si="38"/>
        <v>218E848</v>
      </c>
      <c r="H39" s="23" t="str">
        <f t="shared" si="38"/>
        <v>218EBC8</v>
      </c>
      <c r="I39" s="21" t="str">
        <f t="shared" si="38"/>
        <v>218EF48</v>
      </c>
      <c r="J39" s="22" t="str">
        <f t="shared" si="38"/>
        <v>218F2C8</v>
      </c>
      <c r="K39" s="18" t="s">
        <v>1572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x14ac:dyDescent="0.45">
      <c r="B40" s="2" t="s">
        <v>372</v>
      </c>
      <c r="C40" s="10" t="str">
        <f t="shared" ref="C40:G40" si="39">DEC2HEX(HEX2DEC(C39)+14,7)</f>
        <v>2188686</v>
      </c>
      <c r="D40" s="4" t="str">
        <f t="shared" si="39"/>
        <v>2188A06</v>
      </c>
      <c r="E40" s="5" t="str">
        <f t="shared" si="39"/>
        <v>2188D86</v>
      </c>
      <c r="F40" s="6" t="str">
        <f t="shared" si="39"/>
        <v>2189106</v>
      </c>
      <c r="G40" s="20" t="str">
        <f t="shared" si="39"/>
        <v>218E856</v>
      </c>
      <c r="H40" s="23" t="str">
        <f t="shared" si="35"/>
        <v>218EBD6</v>
      </c>
      <c r="I40" s="21" t="str">
        <f t="shared" si="35"/>
        <v>218EF56</v>
      </c>
      <c r="J40" s="22" t="str">
        <f t="shared" si="35"/>
        <v>218F2D6</v>
      </c>
      <c r="K40" s="18" t="s">
        <v>1573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x14ac:dyDescent="0.45">
      <c r="B41" s="2" t="s">
        <v>373</v>
      </c>
      <c r="C41" s="10" t="str">
        <f t="shared" ref="C41:J41" si="40">DEC2HEX(HEX2DEC(C40)+14,7)</f>
        <v>2188694</v>
      </c>
      <c r="D41" s="4" t="str">
        <f t="shared" si="40"/>
        <v>2188A14</v>
      </c>
      <c r="E41" s="5" t="str">
        <f t="shared" si="40"/>
        <v>2188D94</v>
      </c>
      <c r="F41" s="6" t="str">
        <f t="shared" si="40"/>
        <v>2189114</v>
      </c>
      <c r="G41" s="20" t="str">
        <f t="shared" si="40"/>
        <v>218E864</v>
      </c>
      <c r="H41" s="23" t="str">
        <f t="shared" si="40"/>
        <v>218EBE4</v>
      </c>
      <c r="I41" s="21" t="str">
        <f t="shared" si="40"/>
        <v>218EF64</v>
      </c>
      <c r="J41" s="22" t="str">
        <f t="shared" si="40"/>
        <v>218F2E4</v>
      </c>
      <c r="K41" s="18" t="s">
        <v>1574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x14ac:dyDescent="0.45">
      <c r="B42" s="2" t="s">
        <v>374</v>
      </c>
      <c r="C42" s="10" t="str">
        <f t="shared" ref="C42:J42" si="41">DEC2HEX(HEX2DEC(C41)+14,7)</f>
        <v>21886A2</v>
      </c>
      <c r="D42" s="4" t="str">
        <f t="shared" si="41"/>
        <v>2188A22</v>
      </c>
      <c r="E42" s="5" t="str">
        <f t="shared" si="41"/>
        <v>2188DA2</v>
      </c>
      <c r="F42" s="6" t="str">
        <f t="shared" si="41"/>
        <v>2189122</v>
      </c>
      <c r="G42" s="20" t="str">
        <f t="shared" si="41"/>
        <v>218E872</v>
      </c>
      <c r="H42" s="23" t="str">
        <f t="shared" si="41"/>
        <v>218EBF2</v>
      </c>
      <c r="I42" s="21" t="str">
        <f t="shared" si="41"/>
        <v>218EF72</v>
      </c>
      <c r="J42" s="22" t="str">
        <f t="shared" si="41"/>
        <v>218F2F2</v>
      </c>
      <c r="K42" s="18" t="s">
        <v>1575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x14ac:dyDescent="0.45">
      <c r="B43" s="2" t="s">
        <v>375</v>
      </c>
      <c r="C43" s="10" t="str">
        <f t="shared" ref="C43:G43" si="42">DEC2HEX(HEX2DEC(C42)+14,7)</f>
        <v>21886B0</v>
      </c>
      <c r="D43" s="4" t="str">
        <f t="shared" si="42"/>
        <v>2188A30</v>
      </c>
      <c r="E43" s="5" t="str">
        <f t="shared" si="42"/>
        <v>2188DB0</v>
      </c>
      <c r="F43" s="6" t="str">
        <f t="shared" si="42"/>
        <v>2189130</v>
      </c>
      <c r="G43" s="20" t="str">
        <f t="shared" si="42"/>
        <v>218E880</v>
      </c>
      <c r="H43" s="23" t="str">
        <f t="shared" si="35"/>
        <v>218EC00</v>
      </c>
      <c r="I43" s="21" t="str">
        <f t="shared" si="35"/>
        <v>218EF80</v>
      </c>
      <c r="J43" s="22" t="str">
        <f t="shared" si="35"/>
        <v>218F300</v>
      </c>
      <c r="K43" s="18" t="s">
        <v>1592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x14ac:dyDescent="0.45">
      <c r="B44" s="2" t="s">
        <v>376</v>
      </c>
      <c r="C44" s="10" t="str">
        <f t="shared" ref="C44:J44" si="43">DEC2HEX(HEX2DEC(C43)+14,7)</f>
        <v>21886BE</v>
      </c>
      <c r="D44" s="4" t="str">
        <f t="shared" si="43"/>
        <v>2188A3E</v>
      </c>
      <c r="E44" s="5" t="str">
        <f t="shared" si="43"/>
        <v>2188DBE</v>
      </c>
      <c r="F44" s="6" t="str">
        <f t="shared" si="43"/>
        <v>218913E</v>
      </c>
      <c r="G44" s="20" t="str">
        <f t="shared" si="43"/>
        <v>218E88E</v>
      </c>
      <c r="H44" s="23" t="str">
        <f t="shared" si="43"/>
        <v>218EC0E</v>
      </c>
      <c r="I44" s="21" t="str">
        <f t="shared" si="43"/>
        <v>218EF8E</v>
      </c>
      <c r="J44" s="22" t="str">
        <f t="shared" si="43"/>
        <v>218F30E</v>
      </c>
      <c r="K44" s="18" t="s">
        <v>1593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x14ac:dyDescent="0.45">
      <c r="B45" s="2" t="s">
        <v>377</v>
      </c>
      <c r="C45" s="10" t="str">
        <f t="shared" ref="C45:J45" si="44">DEC2HEX(HEX2DEC(C44)+14,7)</f>
        <v>21886CC</v>
      </c>
      <c r="D45" s="4" t="str">
        <f t="shared" si="44"/>
        <v>2188A4C</v>
      </c>
      <c r="E45" s="5" t="str">
        <f t="shared" si="44"/>
        <v>2188DCC</v>
      </c>
      <c r="F45" s="6" t="str">
        <f t="shared" si="44"/>
        <v>218914C</v>
      </c>
      <c r="G45" s="20" t="str">
        <f t="shared" si="44"/>
        <v>218E89C</v>
      </c>
      <c r="H45" s="23" t="str">
        <f t="shared" si="44"/>
        <v>218EC1C</v>
      </c>
      <c r="I45" s="21" t="str">
        <f t="shared" si="44"/>
        <v>218EF9C</v>
      </c>
      <c r="J45" s="22" t="str">
        <f t="shared" si="44"/>
        <v>218F31C</v>
      </c>
      <c r="K45" s="18" t="s">
        <v>1594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x14ac:dyDescent="0.45">
      <c r="B46" s="2" t="s">
        <v>378</v>
      </c>
      <c r="C46" s="10" t="str">
        <f t="shared" ref="C46:G46" si="45">DEC2HEX(HEX2DEC(C45)+14,7)</f>
        <v>21886DA</v>
      </c>
      <c r="D46" s="4" t="str">
        <f t="shared" si="45"/>
        <v>2188A5A</v>
      </c>
      <c r="E46" s="5" t="str">
        <f t="shared" si="45"/>
        <v>2188DDA</v>
      </c>
      <c r="F46" s="6" t="str">
        <f t="shared" si="45"/>
        <v>218915A</v>
      </c>
      <c r="G46" s="20" t="str">
        <f t="shared" si="45"/>
        <v>218E8AA</v>
      </c>
      <c r="H46" s="23" t="str">
        <f t="shared" si="35"/>
        <v>218EC2A</v>
      </c>
      <c r="I46" s="21" t="str">
        <f t="shared" si="35"/>
        <v>218EFAA</v>
      </c>
      <c r="J46" s="22" t="str">
        <f t="shared" si="35"/>
        <v>218F32A</v>
      </c>
      <c r="K46" s="18" t="s">
        <v>1595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x14ac:dyDescent="0.45">
      <c r="B47" s="2" t="s">
        <v>379</v>
      </c>
      <c r="C47" s="10" t="str">
        <f t="shared" ref="C47:J47" si="46">DEC2HEX(HEX2DEC(C46)+14,7)</f>
        <v>21886E8</v>
      </c>
      <c r="D47" s="4" t="str">
        <f t="shared" si="46"/>
        <v>2188A68</v>
      </c>
      <c r="E47" s="5" t="str">
        <f t="shared" si="46"/>
        <v>2188DE8</v>
      </c>
      <c r="F47" s="6" t="str">
        <f t="shared" si="46"/>
        <v>2189168</v>
      </c>
      <c r="G47" s="20" t="str">
        <f t="shared" si="46"/>
        <v>218E8B8</v>
      </c>
      <c r="H47" s="23" t="str">
        <f t="shared" si="46"/>
        <v>218EC38</v>
      </c>
      <c r="I47" s="21" t="str">
        <f t="shared" si="46"/>
        <v>218EFB8</v>
      </c>
      <c r="J47" s="22" t="str">
        <f t="shared" si="46"/>
        <v>218F338</v>
      </c>
      <c r="K47" s="18" t="s">
        <v>1596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x14ac:dyDescent="0.45">
      <c r="B48" s="2" t="s">
        <v>380</v>
      </c>
      <c r="C48" s="10" t="str">
        <f t="shared" ref="C48:J48" si="47">DEC2HEX(HEX2DEC(C47)+14,7)</f>
        <v>21886F6</v>
      </c>
      <c r="D48" s="4" t="str">
        <f t="shared" si="47"/>
        <v>2188A76</v>
      </c>
      <c r="E48" s="5" t="str">
        <f t="shared" si="47"/>
        <v>2188DF6</v>
      </c>
      <c r="F48" s="6" t="str">
        <f t="shared" si="47"/>
        <v>2189176</v>
      </c>
      <c r="G48" s="20" t="str">
        <f t="shared" si="47"/>
        <v>218E8C6</v>
      </c>
      <c r="H48" s="23" t="str">
        <f t="shared" si="47"/>
        <v>218EC46</v>
      </c>
      <c r="I48" s="21" t="str">
        <f t="shared" si="47"/>
        <v>218EFC6</v>
      </c>
      <c r="J48" s="22" t="str">
        <f t="shared" si="47"/>
        <v>218F346</v>
      </c>
      <c r="K48" s="18" t="s">
        <v>1597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2:26" ht="18" x14ac:dyDescent="0.45">
      <c r="B49" s="2" t="s">
        <v>381</v>
      </c>
      <c r="C49" s="10" t="str">
        <f t="shared" ref="C49:G49" si="48">DEC2HEX(HEX2DEC(C48)+14,7)</f>
        <v>2188704</v>
      </c>
      <c r="D49" s="4" t="str">
        <f t="shared" si="48"/>
        <v>2188A84</v>
      </c>
      <c r="E49" s="5" t="str">
        <f t="shared" si="48"/>
        <v>2188E04</v>
      </c>
      <c r="F49" s="6" t="str">
        <f t="shared" si="48"/>
        <v>2189184</v>
      </c>
      <c r="G49" s="20" t="str">
        <f t="shared" si="48"/>
        <v>218E8D4</v>
      </c>
      <c r="H49" s="23" t="str">
        <f t="shared" si="35"/>
        <v>218EC54</v>
      </c>
      <c r="I49" s="21" t="str">
        <f t="shared" si="35"/>
        <v>218EFD4</v>
      </c>
      <c r="J49" s="22" t="str">
        <f t="shared" si="35"/>
        <v>218F354</v>
      </c>
      <c r="K49" s="18" t="s">
        <v>1576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2:26" ht="18" x14ac:dyDescent="0.45">
      <c r="B50" s="2" t="s">
        <v>382</v>
      </c>
      <c r="C50" s="10" t="str">
        <f t="shared" ref="C50:J50" si="49">DEC2HEX(HEX2DEC(C49)+14,7)</f>
        <v>2188712</v>
      </c>
      <c r="D50" s="4" t="str">
        <f t="shared" si="49"/>
        <v>2188A92</v>
      </c>
      <c r="E50" s="5" t="str">
        <f t="shared" si="49"/>
        <v>2188E12</v>
      </c>
      <c r="F50" s="6" t="str">
        <f t="shared" si="49"/>
        <v>2189192</v>
      </c>
      <c r="G50" s="20" t="str">
        <f t="shared" si="49"/>
        <v>218E8E2</v>
      </c>
      <c r="H50" s="23" t="str">
        <f t="shared" si="49"/>
        <v>218EC62</v>
      </c>
      <c r="I50" s="21" t="str">
        <f t="shared" si="49"/>
        <v>218EFE2</v>
      </c>
      <c r="J50" s="22" t="str">
        <f t="shared" si="49"/>
        <v>218F362</v>
      </c>
      <c r="K50" s="18" t="s">
        <v>1577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2:26" ht="18" x14ac:dyDescent="0.45">
      <c r="B51" s="2" t="s">
        <v>383</v>
      </c>
      <c r="C51" s="10" t="str">
        <f t="shared" ref="C51:J64" si="50">DEC2HEX(HEX2DEC(C50)+14,7)</f>
        <v>2188720</v>
      </c>
      <c r="D51" s="4" t="str">
        <f t="shared" si="50"/>
        <v>2188AA0</v>
      </c>
      <c r="E51" s="5" t="str">
        <f t="shared" si="50"/>
        <v>2188E20</v>
      </c>
      <c r="F51" s="6" t="str">
        <f t="shared" si="50"/>
        <v>21891A0</v>
      </c>
      <c r="G51" s="20" t="str">
        <f t="shared" si="50"/>
        <v>218E8F0</v>
      </c>
      <c r="H51" s="23" t="str">
        <f t="shared" si="50"/>
        <v>218EC70</v>
      </c>
      <c r="I51" s="21" t="str">
        <f t="shared" si="50"/>
        <v>218EFF0</v>
      </c>
      <c r="J51" s="22" t="str">
        <f t="shared" si="50"/>
        <v>218F370</v>
      </c>
      <c r="K51" s="18" t="s">
        <v>1578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2:26" ht="18" x14ac:dyDescent="0.45">
      <c r="B52" s="2" t="s">
        <v>384</v>
      </c>
      <c r="C52" s="10" t="str">
        <f t="shared" ref="C52:G52" si="51">DEC2HEX(HEX2DEC(C51)+14,7)</f>
        <v>218872E</v>
      </c>
      <c r="D52" s="4" t="str">
        <f t="shared" si="51"/>
        <v>2188AAE</v>
      </c>
      <c r="E52" s="5" t="str">
        <f t="shared" si="51"/>
        <v>2188E2E</v>
      </c>
      <c r="F52" s="6" t="str">
        <f t="shared" si="51"/>
        <v>21891AE</v>
      </c>
      <c r="G52" s="20" t="str">
        <f t="shared" si="51"/>
        <v>218E8FE</v>
      </c>
      <c r="H52" s="23" t="str">
        <f t="shared" si="50"/>
        <v>218EC7E</v>
      </c>
      <c r="I52" s="21" t="str">
        <f t="shared" si="50"/>
        <v>218EFFE</v>
      </c>
      <c r="J52" s="22" t="str">
        <f t="shared" si="50"/>
        <v>218F37E</v>
      </c>
      <c r="K52" s="18" t="s">
        <v>1579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2:26" ht="18" x14ac:dyDescent="0.45">
      <c r="B53" s="2" t="s">
        <v>385</v>
      </c>
      <c r="C53" s="10" t="str">
        <f t="shared" ref="C53:J53" si="52">DEC2HEX(HEX2DEC(C52)+14,7)</f>
        <v>218873C</v>
      </c>
      <c r="D53" s="4" t="str">
        <f t="shared" si="52"/>
        <v>2188ABC</v>
      </c>
      <c r="E53" s="5" t="str">
        <f t="shared" si="52"/>
        <v>2188E3C</v>
      </c>
      <c r="F53" s="6" t="str">
        <f t="shared" si="52"/>
        <v>21891BC</v>
      </c>
      <c r="G53" s="20" t="str">
        <f t="shared" si="52"/>
        <v>218E90C</v>
      </c>
      <c r="H53" s="23" t="str">
        <f t="shared" si="52"/>
        <v>218EC8C</v>
      </c>
      <c r="I53" s="21" t="str">
        <f t="shared" si="52"/>
        <v>218F00C</v>
      </c>
      <c r="J53" s="22" t="str">
        <f t="shared" si="52"/>
        <v>218F38C</v>
      </c>
      <c r="K53" s="18" t="s">
        <v>1580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2:26" ht="18" x14ac:dyDescent="0.45">
      <c r="B54" s="2" t="s">
        <v>386</v>
      </c>
      <c r="C54" s="10" t="str">
        <f t="shared" ref="C54:J54" si="53">DEC2HEX(HEX2DEC(C53)+14,7)</f>
        <v>218874A</v>
      </c>
      <c r="D54" s="4" t="str">
        <f t="shared" si="53"/>
        <v>2188ACA</v>
      </c>
      <c r="E54" s="5" t="str">
        <f t="shared" si="53"/>
        <v>2188E4A</v>
      </c>
      <c r="F54" s="6" t="str">
        <f t="shared" si="53"/>
        <v>21891CA</v>
      </c>
      <c r="G54" s="20" t="str">
        <f t="shared" si="53"/>
        <v>218E91A</v>
      </c>
      <c r="H54" s="23" t="str">
        <f t="shared" si="53"/>
        <v>218EC9A</v>
      </c>
      <c r="I54" s="21" t="str">
        <f t="shared" si="53"/>
        <v>218F01A</v>
      </c>
      <c r="J54" s="22" t="str">
        <f t="shared" si="53"/>
        <v>218F39A</v>
      </c>
      <c r="K54" s="18" t="s">
        <v>1581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2:26" ht="18" x14ac:dyDescent="0.45">
      <c r="B55" s="2" t="s">
        <v>387</v>
      </c>
      <c r="C55" s="10" t="str">
        <f t="shared" ref="C55:G55" si="54">DEC2HEX(HEX2DEC(C54)+14,7)</f>
        <v>2188758</v>
      </c>
      <c r="D55" s="4" t="str">
        <f t="shared" si="54"/>
        <v>2188AD8</v>
      </c>
      <c r="E55" s="5" t="str">
        <f t="shared" si="54"/>
        <v>2188E58</v>
      </c>
      <c r="F55" s="6" t="str">
        <f t="shared" si="54"/>
        <v>21891D8</v>
      </c>
      <c r="G55" s="20" t="str">
        <f t="shared" si="54"/>
        <v>218E928</v>
      </c>
      <c r="H55" s="23" t="str">
        <f t="shared" si="50"/>
        <v>218ECA8</v>
      </c>
      <c r="I55" s="21" t="str">
        <f t="shared" si="50"/>
        <v>218F028</v>
      </c>
      <c r="J55" s="22" t="str">
        <f t="shared" si="50"/>
        <v>218F3A8</v>
      </c>
      <c r="K55" s="18" t="s">
        <v>1582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2:26" ht="18" x14ac:dyDescent="0.45">
      <c r="B56" s="2" t="s">
        <v>388</v>
      </c>
      <c r="C56" s="10" t="str">
        <f t="shared" ref="C56:J56" si="55">DEC2HEX(HEX2DEC(C55)+14,7)</f>
        <v>2188766</v>
      </c>
      <c r="D56" s="4" t="str">
        <f t="shared" si="55"/>
        <v>2188AE6</v>
      </c>
      <c r="E56" s="5" t="str">
        <f t="shared" si="55"/>
        <v>2188E66</v>
      </c>
      <c r="F56" s="6" t="str">
        <f t="shared" si="55"/>
        <v>21891E6</v>
      </c>
      <c r="G56" s="20" t="str">
        <f t="shared" si="55"/>
        <v>218E936</v>
      </c>
      <c r="H56" s="23" t="str">
        <f t="shared" si="55"/>
        <v>218ECB6</v>
      </c>
      <c r="I56" s="21" t="str">
        <f t="shared" si="55"/>
        <v>218F036</v>
      </c>
      <c r="J56" s="22" t="str">
        <f t="shared" si="55"/>
        <v>218F3B6</v>
      </c>
      <c r="K56" s="18" t="s">
        <v>1583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2:26" ht="18" x14ac:dyDescent="0.45">
      <c r="B57" s="2" t="s">
        <v>389</v>
      </c>
      <c r="C57" s="10" t="str">
        <f t="shared" ref="C57:J57" si="56">DEC2HEX(HEX2DEC(C56)+14,7)</f>
        <v>2188774</v>
      </c>
      <c r="D57" s="4" t="str">
        <f t="shared" si="56"/>
        <v>2188AF4</v>
      </c>
      <c r="E57" s="5" t="str">
        <f t="shared" si="56"/>
        <v>2188E74</v>
      </c>
      <c r="F57" s="6" t="str">
        <f t="shared" si="56"/>
        <v>21891F4</v>
      </c>
      <c r="G57" s="20" t="str">
        <f t="shared" si="56"/>
        <v>218E944</v>
      </c>
      <c r="H57" s="23" t="str">
        <f t="shared" si="56"/>
        <v>218ECC4</v>
      </c>
      <c r="I57" s="21" t="str">
        <f t="shared" si="56"/>
        <v>218F044</v>
      </c>
      <c r="J57" s="22" t="str">
        <f t="shared" si="56"/>
        <v>218F3C4</v>
      </c>
      <c r="K57" s="18" t="s">
        <v>1584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2:26" ht="18" x14ac:dyDescent="0.45">
      <c r="B58" s="2" t="s">
        <v>390</v>
      </c>
      <c r="C58" s="10" t="str">
        <f t="shared" ref="C58:G58" si="57">DEC2HEX(HEX2DEC(C57)+14,7)</f>
        <v>2188782</v>
      </c>
      <c r="D58" s="4" t="str">
        <f t="shared" si="57"/>
        <v>2188B02</v>
      </c>
      <c r="E58" s="5" t="str">
        <f t="shared" si="57"/>
        <v>2188E82</v>
      </c>
      <c r="F58" s="6" t="str">
        <f t="shared" si="57"/>
        <v>2189202</v>
      </c>
      <c r="G58" s="20" t="str">
        <f t="shared" si="57"/>
        <v>218E952</v>
      </c>
      <c r="H58" s="23" t="str">
        <f t="shared" si="50"/>
        <v>218ECD2</v>
      </c>
      <c r="I58" s="21" t="str">
        <f t="shared" si="50"/>
        <v>218F052</v>
      </c>
      <c r="J58" s="22" t="str">
        <f t="shared" si="50"/>
        <v>218F3D2</v>
      </c>
      <c r="K58" s="18" t="s">
        <v>1585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2:26" ht="18" x14ac:dyDescent="0.45">
      <c r="B59" s="2" t="s">
        <v>391</v>
      </c>
      <c r="C59" s="10" t="str">
        <f t="shared" ref="C59:J59" si="58">DEC2HEX(HEX2DEC(C58)+14,7)</f>
        <v>2188790</v>
      </c>
      <c r="D59" s="4" t="str">
        <f t="shared" si="58"/>
        <v>2188B10</v>
      </c>
      <c r="E59" s="5" t="str">
        <f t="shared" si="58"/>
        <v>2188E90</v>
      </c>
      <c r="F59" s="6" t="str">
        <f t="shared" si="58"/>
        <v>2189210</v>
      </c>
      <c r="G59" s="20" t="str">
        <f t="shared" si="58"/>
        <v>218E960</v>
      </c>
      <c r="H59" s="23" t="str">
        <f t="shared" si="58"/>
        <v>218ECE0</v>
      </c>
      <c r="I59" s="21" t="str">
        <f t="shared" si="58"/>
        <v>218F060</v>
      </c>
      <c r="J59" s="22" t="str">
        <f t="shared" si="58"/>
        <v>218F3E0</v>
      </c>
      <c r="K59" s="18" t="s">
        <v>1598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2:26" ht="18" x14ac:dyDescent="0.45">
      <c r="B60" s="2" t="s">
        <v>392</v>
      </c>
      <c r="C60" s="10" t="str">
        <f t="shared" ref="C60:J60" si="59">DEC2HEX(HEX2DEC(C59)+14,7)</f>
        <v>218879E</v>
      </c>
      <c r="D60" s="4" t="str">
        <f t="shared" si="59"/>
        <v>2188B1E</v>
      </c>
      <c r="E60" s="5" t="str">
        <f t="shared" si="59"/>
        <v>2188E9E</v>
      </c>
      <c r="F60" s="6" t="str">
        <f t="shared" si="59"/>
        <v>218921E</v>
      </c>
      <c r="G60" s="20" t="str">
        <f t="shared" si="59"/>
        <v>218E96E</v>
      </c>
      <c r="H60" s="23" t="str">
        <f t="shared" si="59"/>
        <v>218ECEE</v>
      </c>
      <c r="I60" s="21" t="str">
        <f t="shared" si="59"/>
        <v>218F06E</v>
      </c>
      <c r="J60" s="22" t="str">
        <f t="shared" si="59"/>
        <v>218F3EE</v>
      </c>
      <c r="K60" s="18" t="s">
        <v>1599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2:26" ht="18" x14ac:dyDescent="0.45">
      <c r="B61" s="2" t="s">
        <v>393</v>
      </c>
      <c r="C61" s="10" t="str">
        <f t="shared" ref="C61:G61" si="60">DEC2HEX(HEX2DEC(C60)+14,7)</f>
        <v>21887AC</v>
      </c>
      <c r="D61" s="4" t="str">
        <f t="shared" si="60"/>
        <v>2188B2C</v>
      </c>
      <c r="E61" s="5" t="str">
        <f t="shared" si="60"/>
        <v>2188EAC</v>
      </c>
      <c r="F61" s="6" t="str">
        <f t="shared" si="60"/>
        <v>218922C</v>
      </c>
      <c r="G61" s="20" t="str">
        <f t="shared" si="60"/>
        <v>218E97C</v>
      </c>
      <c r="H61" s="23" t="str">
        <f t="shared" si="50"/>
        <v>218ECFC</v>
      </c>
      <c r="I61" s="21" t="str">
        <f t="shared" si="50"/>
        <v>218F07C</v>
      </c>
      <c r="J61" s="22" t="str">
        <f t="shared" si="50"/>
        <v>218F3FC</v>
      </c>
      <c r="K61" s="18" t="s">
        <v>1600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2:26" ht="18" x14ac:dyDescent="0.45">
      <c r="B62" s="2" t="s">
        <v>394</v>
      </c>
      <c r="C62" s="10" t="str">
        <f t="shared" ref="C62:J62" si="61">DEC2HEX(HEX2DEC(C61)+14,7)</f>
        <v>21887BA</v>
      </c>
      <c r="D62" s="4" t="str">
        <f t="shared" si="61"/>
        <v>2188B3A</v>
      </c>
      <c r="E62" s="5" t="str">
        <f t="shared" si="61"/>
        <v>2188EBA</v>
      </c>
      <c r="F62" s="6" t="str">
        <f t="shared" si="61"/>
        <v>218923A</v>
      </c>
      <c r="G62" s="20" t="str">
        <f t="shared" si="61"/>
        <v>218E98A</v>
      </c>
      <c r="H62" s="23" t="str">
        <f t="shared" si="61"/>
        <v>218ED0A</v>
      </c>
      <c r="I62" s="21" t="str">
        <f t="shared" si="61"/>
        <v>218F08A</v>
      </c>
      <c r="J62" s="22" t="str">
        <f t="shared" si="61"/>
        <v>218F40A</v>
      </c>
      <c r="K62" s="18" t="s">
        <v>1601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2:26" ht="18" x14ac:dyDescent="0.45">
      <c r="B63" s="2" t="s">
        <v>395</v>
      </c>
      <c r="C63" s="10" t="str">
        <f t="shared" ref="C63:J63" si="62">DEC2HEX(HEX2DEC(C62)+14,7)</f>
        <v>21887C8</v>
      </c>
      <c r="D63" s="4" t="str">
        <f t="shared" si="62"/>
        <v>2188B48</v>
      </c>
      <c r="E63" s="5" t="str">
        <f t="shared" si="62"/>
        <v>2188EC8</v>
      </c>
      <c r="F63" s="6" t="str">
        <f t="shared" si="62"/>
        <v>2189248</v>
      </c>
      <c r="G63" s="20" t="str">
        <f t="shared" si="62"/>
        <v>218E998</v>
      </c>
      <c r="H63" s="23" t="str">
        <f t="shared" si="62"/>
        <v>218ED18</v>
      </c>
      <c r="I63" s="21" t="str">
        <f t="shared" si="62"/>
        <v>218F098</v>
      </c>
      <c r="J63" s="22" t="str">
        <f t="shared" si="62"/>
        <v>218F418</v>
      </c>
      <c r="K63" s="18" t="s">
        <v>1602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2:26" ht="18" x14ac:dyDescent="0.45">
      <c r="B64" s="2" t="s">
        <v>396</v>
      </c>
      <c r="C64" s="10" t="str">
        <f t="shared" ref="C64:G64" si="63">DEC2HEX(HEX2DEC(C63)+14,7)</f>
        <v>21887D6</v>
      </c>
      <c r="D64" s="4" t="str">
        <f t="shared" si="63"/>
        <v>2188B56</v>
      </c>
      <c r="E64" s="5" t="str">
        <f t="shared" si="63"/>
        <v>2188ED6</v>
      </c>
      <c r="F64" s="6" t="str">
        <f t="shared" si="63"/>
        <v>2189256</v>
      </c>
      <c r="G64" s="20" t="str">
        <f t="shared" si="63"/>
        <v>218E9A6</v>
      </c>
      <c r="H64" s="23" t="str">
        <f t="shared" si="50"/>
        <v>218ED26</v>
      </c>
      <c r="I64" s="21" t="str">
        <f t="shared" si="50"/>
        <v>218F0A6</v>
      </c>
      <c r="J64" s="22" t="str">
        <f t="shared" si="50"/>
        <v>218F426</v>
      </c>
      <c r="K64" s="18" t="s">
        <v>1603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x14ac:dyDescent="0.45">
      <c r="B65" s="2"/>
      <c r="C65" s="10"/>
      <c r="D65" s="4"/>
      <c r="E65" s="5"/>
      <c r="F65" s="6"/>
      <c r="G65" s="7"/>
      <c r="H65" s="11"/>
      <c r="I65" s="12"/>
      <c r="J65" s="1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45">
      <c r="B66" s="2"/>
      <c r="C66" s="10"/>
      <c r="D66" s="4"/>
      <c r="E66" s="5"/>
      <c r="F66" s="6"/>
      <c r="G66" s="7"/>
      <c r="H66" s="11"/>
      <c r="I66" s="12"/>
      <c r="J66" s="1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45">
      <c r="A67" s="24"/>
      <c r="B67" s="2"/>
      <c r="C67" s="10"/>
      <c r="D67" s="4"/>
      <c r="E67" s="5"/>
      <c r="F67" s="6"/>
      <c r="G67" s="7"/>
      <c r="H67" s="11"/>
      <c r="I67" s="12"/>
      <c r="J67" s="1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x14ac:dyDescent="0.45">
      <c r="A68" s="24"/>
      <c r="B68" s="2"/>
      <c r="C68" s="10"/>
      <c r="D68" s="4"/>
      <c r="E68" s="5"/>
      <c r="F68" s="6"/>
      <c r="G68" s="7"/>
      <c r="H68" s="11"/>
      <c r="I68" s="12"/>
      <c r="J68" s="1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x14ac:dyDescent="0.45">
      <c r="A69" s="24"/>
      <c r="B69" s="2"/>
      <c r="C69" s="10"/>
      <c r="D69" s="4"/>
      <c r="E69" s="5"/>
      <c r="F69" s="6"/>
      <c r="G69" s="7"/>
      <c r="H69" s="11"/>
      <c r="I69" s="12"/>
      <c r="J69" s="1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x14ac:dyDescent="0.45">
      <c r="A70" s="24"/>
      <c r="B70" s="2"/>
      <c r="C70" s="10"/>
      <c r="D70" s="4"/>
      <c r="E70" s="5"/>
      <c r="F70" s="6"/>
      <c r="G70" s="7"/>
      <c r="H70" s="11"/>
      <c r="I70" s="12"/>
      <c r="J70" s="1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x14ac:dyDescent="0.45">
      <c r="A71" s="24"/>
      <c r="B71" s="2"/>
      <c r="C71" s="10"/>
      <c r="D71" s="4"/>
      <c r="E71" s="5"/>
      <c r="F71" s="6"/>
      <c r="G71" s="7"/>
      <c r="H71" s="11"/>
      <c r="I71" s="12"/>
      <c r="J71" s="1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x14ac:dyDescent="0.45">
      <c r="A72" s="24"/>
      <c r="B72" s="2"/>
      <c r="C72" s="10"/>
      <c r="D72" s="4"/>
      <c r="E72" s="5"/>
      <c r="F72" s="6"/>
      <c r="G72" s="7"/>
      <c r="H72" s="11"/>
      <c r="I72" s="12"/>
      <c r="J72" s="1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x14ac:dyDescent="0.45">
      <c r="A73" s="24"/>
      <c r="B73" s="2"/>
      <c r="C73" s="10"/>
      <c r="D73" s="4"/>
      <c r="E73" s="5"/>
      <c r="F73" s="6"/>
      <c r="G73" s="7"/>
      <c r="H73" s="11"/>
      <c r="I73" s="12"/>
      <c r="J73" s="1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45">
      <c r="A74" s="24"/>
      <c r="B74" s="2"/>
      <c r="C74" s="10"/>
      <c r="D74" s="4"/>
      <c r="E74" s="5"/>
      <c r="F74" s="6"/>
      <c r="G74" s="7"/>
      <c r="H74" s="11"/>
      <c r="I74" s="12"/>
      <c r="J74" s="1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x14ac:dyDescent="0.45">
      <c r="A75" s="24"/>
      <c r="B75" s="2"/>
      <c r="C75" s="10"/>
      <c r="D75" s="4"/>
      <c r="E75" s="5"/>
      <c r="F75" s="6"/>
      <c r="G75" s="7"/>
      <c r="H75" s="11"/>
      <c r="I75" s="12"/>
      <c r="J75" s="1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x14ac:dyDescent="0.45">
      <c r="A76" s="24"/>
      <c r="B76" s="2"/>
      <c r="C76" s="10"/>
      <c r="D76" s="4"/>
      <c r="E76" s="5"/>
      <c r="F76" s="6"/>
      <c r="G76" s="7"/>
      <c r="H76" s="11"/>
      <c r="I76" s="12"/>
      <c r="J76" s="1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x14ac:dyDescent="0.45">
      <c r="A77" s="24"/>
      <c r="B77" s="2"/>
      <c r="C77" s="10"/>
      <c r="D77" s="4"/>
      <c r="E77" s="5"/>
      <c r="F77" s="6"/>
      <c r="G77" s="7"/>
      <c r="H77" s="11"/>
      <c r="I77" s="12"/>
      <c r="J77" s="1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x14ac:dyDescent="0.45">
      <c r="A78" s="24"/>
      <c r="B78" s="2"/>
      <c r="C78" s="10"/>
      <c r="D78" s="4"/>
      <c r="E78" s="5"/>
      <c r="F78" s="6"/>
      <c r="G78" s="7"/>
      <c r="H78" s="11"/>
      <c r="I78" s="12"/>
      <c r="J78" s="1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x14ac:dyDescent="0.45">
      <c r="A79" s="24"/>
      <c r="B79" s="2"/>
      <c r="C79" s="10"/>
      <c r="D79" s="4"/>
      <c r="E79" s="5"/>
      <c r="F79" s="6"/>
      <c r="G79" s="7"/>
      <c r="H79" s="11"/>
      <c r="I79" s="12"/>
      <c r="J79" s="1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x14ac:dyDescent="0.45">
      <c r="A80" s="24"/>
      <c r="B80" s="2"/>
      <c r="C80" s="10"/>
      <c r="D80" s="4"/>
      <c r="E80" s="5"/>
      <c r="F80" s="6"/>
      <c r="G80" s="7"/>
      <c r="H80" s="11"/>
      <c r="I80" s="12"/>
      <c r="J80" s="1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x14ac:dyDescent="0.45">
      <c r="A81" s="24"/>
      <c r="B81" s="2"/>
      <c r="C81" s="10"/>
      <c r="D81" s="4"/>
      <c r="E81" s="5"/>
      <c r="F81" s="6"/>
      <c r="G81" s="7"/>
      <c r="H81" s="11"/>
      <c r="I81" s="12"/>
      <c r="J81" s="1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x14ac:dyDescent="0.45">
      <c r="A82" s="24"/>
      <c r="B82" s="2"/>
      <c r="C82" s="10"/>
      <c r="D82" s="4"/>
      <c r="E82" s="5"/>
      <c r="F82" s="6"/>
      <c r="G82" s="7"/>
      <c r="H82" s="11"/>
      <c r="I82" s="12"/>
      <c r="J82" s="1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x14ac:dyDescent="0.45">
      <c r="A83" s="24"/>
      <c r="B83" s="2"/>
      <c r="C83" s="10"/>
      <c r="D83" s="4"/>
      <c r="E83" s="5"/>
      <c r="F83" s="6"/>
      <c r="G83" s="7"/>
      <c r="H83" s="11"/>
      <c r="I83" s="12"/>
      <c r="J83" s="1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x14ac:dyDescent="0.45">
      <c r="A84" s="24"/>
      <c r="B84" s="2"/>
      <c r="C84" s="10"/>
      <c r="D84" s="4"/>
      <c r="E84" s="5"/>
      <c r="F84" s="6"/>
      <c r="G84" s="7"/>
      <c r="H84" s="11"/>
      <c r="I84" s="12"/>
      <c r="J84" s="1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x14ac:dyDescent="0.45">
      <c r="A85" s="24"/>
      <c r="B85" s="2"/>
      <c r="C85" s="10"/>
      <c r="D85" s="4"/>
      <c r="E85" s="5"/>
      <c r="F85" s="6"/>
      <c r="G85" s="7"/>
      <c r="H85" s="11"/>
      <c r="I85" s="12"/>
      <c r="J85" s="1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x14ac:dyDescent="0.45">
      <c r="A86" s="24"/>
      <c r="B86" s="2"/>
      <c r="C86" s="10"/>
      <c r="D86" s="4"/>
      <c r="E86" s="5"/>
      <c r="F86" s="6"/>
      <c r="G86" s="7"/>
      <c r="H86" s="11"/>
      <c r="I86" s="12"/>
      <c r="J86" s="1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x14ac:dyDescent="0.45">
      <c r="A87" s="24"/>
      <c r="B87" s="2"/>
      <c r="C87" s="10"/>
      <c r="D87" s="4"/>
      <c r="E87" s="5"/>
      <c r="F87" s="6"/>
      <c r="G87" s="7"/>
      <c r="H87" s="11"/>
      <c r="I87" s="12"/>
      <c r="J87" s="1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x14ac:dyDescent="0.45">
      <c r="A88" s="24"/>
      <c r="B88" s="2"/>
      <c r="C88" s="10"/>
      <c r="D88" s="4"/>
      <c r="E88" s="5"/>
      <c r="F88" s="6"/>
      <c r="G88" s="7"/>
      <c r="H88" s="11"/>
      <c r="I88" s="12"/>
      <c r="J88" s="1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x14ac:dyDescent="0.45">
      <c r="A89" s="24"/>
      <c r="B89" s="2"/>
      <c r="C89" s="10"/>
      <c r="D89" s="4"/>
      <c r="E89" s="5"/>
      <c r="F89" s="6"/>
      <c r="G89" s="7"/>
      <c r="H89" s="11"/>
      <c r="I89" s="12"/>
      <c r="J89" s="1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x14ac:dyDescent="0.45">
      <c r="A90" s="24"/>
      <c r="B90" s="2"/>
      <c r="C90" s="10"/>
      <c r="D90" s="4"/>
      <c r="E90" s="5"/>
      <c r="F90" s="6"/>
      <c r="G90" s="7"/>
      <c r="H90" s="11"/>
      <c r="I90" s="12"/>
      <c r="J90" s="1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x14ac:dyDescent="0.45">
      <c r="A91" s="24"/>
      <c r="B91" s="2"/>
      <c r="C91" s="10"/>
      <c r="D91" s="4"/>
      <c r="E91" s="5"/>
      <c r="F91" s="6"/>
      <c r="G91" s="7"/>
      <c r="H91" s="11"/>
      <c r="I91" s="12"/>
      <c r="J91" s="1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x14ac:dyDescent="0.45">
      <c r="A92" s="24"/>
      <c r="B92" s="2"/>
      <c r="C92" s="10"/>
      <c r="D92" s="4"/>
      <c r="E92" s="5"/>
      <c r="F92" s="6"/>
      <c r="G92" s="7"/>
      <c r="H92" s="11"/>
      <c r="I92" s="12"/>
      <c r="J92" s="1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x14ac:dyDescent="0.45">
      <c r="A93" s="24"/>
      <c r="B93" s="2"/>
      <c r="C93" s="10"/>
      <c r="D93" s="4"/>
      <c r="E93" s="5"/>
      <c r="F93" s="6"/>
      <c r="G93" s="7"/>
      <c r="H93" s="11"/>
      <c r="I93" s="12"/>
      <c r="J93" s="1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45">
      <c r="A94" s="24"/>
      <c r="B94" s="2"/>
      <c r="C94" s="10"/>
      <c r="D94" s="4"/>
      <c r="E94" s="5"/>
      <c r="F94" s="6"/>
      <c r="G94" s="7"/>
      <c r="H94" s="11"/>
      <c r="I94" s="12"/>
      <c r="J94" s="1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x14ac:dyDescent="0.45">
      <c r="A95" s="24"/>
      <c r="B95" s="2"/>
      <c r="C95" s="10"/>
      <c r="D95" s="4"/>
      <c r="E95" s="5"/>
      <c r="F95" s="6"/>
      <c r="G95" s="7"/>
      <c r="H95" s="11"/>
      <c r="I95" s="12"/>
      <c r="J95" s="1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x14ac:dyDescent="0.45">
      <c r="A96" s="24"/>
      <c r="B96" s="2"/>
      <c r="C96" s="10"/>
      <c r="D96" s="4"/>
      <c r="E96" s="5"/>
      <c r="F96" s="6"/>
      <c r="G96" s="7"/>
      <c r="H96" s="11"/>
      <c r="I96" s="12"/>
      <c r="J96" s="1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x14ac:dyDescent="0.45">
      <c r="A97" s="24"/>
      <c r="B97" s="2"/>
      <c r="C97" s="10"/>
      <c r="D97" s="4"/>
      <c r="E97" s="5"/>
      <c r="F97" s="6"/>
      <c r="G97" s="7"/>
      <c r="H97" s="11"/>
      <c r="I97" s="12"/>
      <c r="J97" s="1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x14ac:dyDescent="0.45">
      <c r="A98" s="24"/>
      <c r="B98" s="2"/>
      <c r="C98" s="10"/>
      <c r="D98" s="4"/>
      <c r="E98" s="5"/>
      <c r="F98" s="6"/>
      <c r="G98" s="7"/>
      <c r="H98" s="11"/>
      <c r="I98" s="12"/>
      <c r="J98" s="1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x14ac:dyDescent="0.45">
      <c r="A99" s="24"/>
      <c r="B99" s="2"/>
      <c r="C99" s="10"/>
      <c r="D99" s="4"/>
      <c r="E99" s="5"/>
      <c r="F99" s="6"/>
      <c r="G99" s="7"/>
      <c r="H99" s="11"/>
      <c r="I99" s="12"/>
      <c r="J99" s="1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x14ac:dyDescent="0.45">
      <c r="A100" s="24"/>
      <c r="B100" s="2"/>
      <c r="C100" s="10"/>
      <c r="D100" s="4"/>
      <c r="E100" s="5"/>
      <c r="F100" s="6"/>
      <c r="G100" s="7"/>
      <c r="H100" s="11"/>
      <c r="I100" s="12"/>
      <c r="J100" s="1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x14ac:dyDescent="0.45">
      <c r="A101" s="24"/>
      <c r="B101" s="2"/>
      <c r="C101" s="10"/>
      <c r="D101" s="4"/>
      <c r="E101" s="5"/>
      <c r="F101" s="6"/>
      <c r="G101" s="7"/>
      <c r="H101" s="11"/>
      <c r="I101" s="12"/>
      <c r="J101" s="1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x14ac:dyDescent="0.45">
      <c r="A102" s="24"/>
      <c r="B102" s="2"/>
      <c r="C102" s="10"/>
      <c r="D102" s="4"/>
      <c r="E102" s="5"/>
      <c r="F102" s="6"/>
      <c r="G102" s="7"/>
      <c r="H102" s="11"/>
      <c r="I102" s="12"/>
      <c r="J102" s="1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45">
      <c r="A103" s="24"/>
      <c r="B103" s="2"/>
      <c r="C103" s="10"/>
      <c r="D103" s="4"/>
      <c r="E103" s="5"/>
      <c r="F103" s="6"/>
      <c r="G103" s="7"/>
      <c r="H103" s="11"/>
      <c r="I103" s="12"/>
      <c r="J103" s="1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x14ac:dyDescent="0.45">
      <c r="A104" s="24"/>
      <c r="B104" s="2"/>
      <c r="C104" s="10"/>
      <c r="D104" s="4"/>
      <c r="E104" s="5"/>
      <c r="F104" s="6"/>
      <c r="G104" s="7"/>
      <c r="H104" s="11"/>
      <c r="I104" s="12"/>
      <c r="J104" s="1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x14ac:dyDescent="0.45">
      <c r="A105" s="24"/>
      <c r="B105" s="2"/>
      <c r="C105" s="10"/>
      <c r="D105" s="4"/>
      <c r="E105" s="5"/>
      <c r="F105" s="6"/>
      <c r="G105" s="7"/>
      <c r="H105" s="11"/>
      <c r="I105" s="12"/>
      <c r="J105" s="1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x14ac:dyDescent="0.45">
      <c r="A106" s="24"/>
      <c r="B106" s="2"/>
      <c r="C106" s="10"/>
      <c r="D106" s="4"/>
      <c r="E106" s="5"/>
      <c r="F106" s="6"/>
      <c r="G106" s="7"/>
      <c r="H106" s="11"/>
      <c r="I106" s="12"/>
      <c r="J106" s="1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x14ac:dyDescent="0.45">
      <c r="A107" s="24"/>
      <c r="B107" s="2"/>
      <c r="C107" s="10"/>
      <c r="D107" s="4"/>
      <c r="E107" s="5"/>
      <c r="F107" s="6"/>
      <c r="G107" s="7"/>
      <c r="H107" s="11"/>
      <c r="I107" s="12"/>
      <c r="J107" s="1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x14ac:dyDescent="0.45">
      <c r="A108" s="24"/>
      <c r="B108" s="2"/>
      <c r="C108" s="10"/>
      <c r="D108" s="4"/>
      <c r="E108" s="5"/>
      <c r="F108" s="6"/>
      <c r="G108" s="7"/>
      <c r="H108" s="11"/>
      <c r="I108" s="12"/>
      <c r="J108" s="1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x14ac:dyDescent="0.45">
      <c r="A109" s="24"/>
      <c r="B109" s="2"/>
      <c r="C109" s="10"/>
      <c r="D109" s="4"/>
      <c r="E109" s="5"/>
      <c r="F109" s="6"/>
      <c r="G109" s="7"/>
      <c r="H109" s="11"/>
      <c r="I109" s="12"/>
      <c r="J109" s="1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x14ac:dyDescent="0.45">
      <c r="A110" s="24"/>
      <c r="B110" s="2"/>
      <c r="C110" s="10"/>
      <c r="D110" s="4"/>
      <c r="E110" s="5"/>
      <c r="F110" s="6"/>
      <c r="G110" s="7"/>
      <c r="H110" s="11"/>
      <c r="I110" s="12"/>
      <c r="J110" s="1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x14ac:dyDescent="0.45">
      <c r="A111" s="24"/>
      <c r="B111" s="2"/>
      <c r="C111" s="10"/>
      <c r="D111" s="4"/>
      <c r="E111" s="5"/>
      <c r="F111" s="6"/>
      <c r="G111" s="7"/>
      <c r="H111" s="11"/>
      <c r="I111" s="12"/>
      <c r="J111" s="1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x14ac:dyDescent="0.45">
      <c r="A112" s="24"/>
      <c r="B112" s="2"/>
      <c r="C112" s="10"/>
      <c r="D112" s="4"/>
      <c r="E112" s="5"/>
      <c r="F112" s="6"/>
      <c r="G112" s="7"/>
      <c r="H112" s="11"/>
      <c r="I112" s="12"/>
      <c r="J112" s="1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x14ac:dyDescent="0.45">
      <c r="A113" s="24"/>
      <c r="B113" s="2"/>
      <c r="C113" s="10"/>
      <c r="D113" s="4"/>
      <c r="E113" s="5"/>
      <c r="F113" s="6"/>
      <c r="G113" s="7"/>
      <c r="H113" s="11"/>
      <c r="I113" s="12"/>
      <c r="J113" s="1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45">
      <c r="A114" s="24"/>
      <c r="B114" s="2"/>
      <c r="C114" s="10"/>
      <c r="D114" s="4"/>
      <c r="E114" s="5"/>
      <c r="F114" s="6"/>
      <c r="G114" s="7"/>
      <c r="H114" s="11"/>
      <c r="I114" s="12"/>
      <c r="J114" s="1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x14ac:dyDescent="0.45">
      <c r="A115" s="24"/>
      <c r="B115" s="2"/>
      <c r="C115" s="10"/>
      <c r="D115" s="4"/>
      <c r="E115" s="5"/>
      <c r="F115" s="6"/>
      <c r="G115" s="7"/>
      <c r="H115" s="11"/>
      <c r="I115" s="12"/>
      <c r="J115" s="1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x14ac:dyDescent="0.45">
      <c r="A116" s="24"/>
      <c r="B116" s="2"/>
      <c r="C116" s="10"/>
      <c r="D116" s="4"/>
      <c r="E116" s="5"/>
      <c r="F116" s="6"/>
      <c r="G116" s="7"/>
      <c r="H116" s="11"/>
      <c r="I116" s="12"/>
      <c r="J116" s="1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x14ac:dyDescent="0.45">
      <c r="A117" s="24"/>
      <c r="B117" s="2"/>
      <c r="C117" s="10"/>
      <c r="D117" s="4"/>
      <c r="E117" s="5"/>
      <c r="F117" s="6"/>
      <c r="G117" s="7"/>
      <c r="H117" s="11"/>
      <c r="I117" s="12"/>
      <c r="J117" s="1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x14ac:dyDescent="0.45">
      <c r="A118" s="24"/>
      <c r="B118" s="2"/>
      <c r="C118" s="10"/>
      <c r="D118" s="4"/>
      <c r="E118" s="5"/>
      <c r="F118" s="6"/>
      <c r="G118" s="7"/>
      <c r="H118" s="11"/>
      <c r="I118" s="12"/>
      <c r="J118" s="1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x14ac:dyDescent="0.45">
      <c r="A119" s="24"/>
      <c r="B119" s="2"/>
      <c r="C119" s="10"/>
      <c r="D119" s="4"/>
      <c r="E119" s="5"/>
      <c r="F119" s="6"/>
      <c r="G119" s="7"/>
      <c r="H119" s="11"/>
      <c r="I119" s="12"/>
      <c r="J119" s="1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x14ac:dyDescent="0.45">
      <c r="A120" s="24"/>
      <c r="B120" s="2"/>
      <c r="C120" s="10"/>
      <c r="D120" s="4"/>
      <c r="E120" s="5"/>
      <c r="F120" s="6"/>
      <c r="G120" s="7"/>
      <c r="H120" s="11"/>
      <c r="I120" s="12"/>
      <c r="J120" s="1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x14ac:dyDescent="0.45">
      <c r="A121" s="24"/>
      <c r="B121" s="2"/>
      <c r="C121" s="10"/>
      <c r="D121" s="4"/>
      <c r="E121" s="5"/>
      <c r="F121" s="6"/>
      <c r="G121" s="7"/>
      <c r="H121" s="11"/>
      <c r="I121" s="12"/>
      <c r="J121" s="1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x14ac:dyDescent="0.45">
      <c r="A122" s="24"/>
      <c r="B122" s="2"/>
      <c r="C122" s="10"/>
      <c r="D122" s="4"/>
      <c r="E122" s="5"/>
      <c r="F122" s="6"/>
      <c r="G122" s="7"/>
      <c r="H122" s="11"/>
      <c r="I122" s="12"/>
      <c r="J122" s="1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x14ac:dyDescent="0.45">
      <c r="A123" s="24"/>
      <c r="B123" s="2"/>
      <c r="C123" s="10"/>
      <c r="D123" s="4"/>
      <c r="E123" s="5"/>
      <c r="F123" s="6"/>
      <c r="G123" s="7"/>
      <c r="H123" s="11"/>
      <c r="I123" s="12"/>
      <c r="J123" s="1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x14ac:dyDescent="0.45">
      <c r="A124" s="24"/>
      <c r="B124" s="2"/>
      <c r="C124" s="10"/>
      <c r="D124" s="4"/>
      <c r="E124" s="5"/>
      <c r="F124" s="6"/>
      <c r="G124" s="7"/>
      <c r="H124" s="11"/>
      <c r="I124" s="12"/>
      <c r="J124" s="1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x14ac:dyDescent="0.45">
      <c r="A125" s="24"/>
      <c r="B125" s="2"/>
      <c r="C125" s="10"/>
      <c r="D125" s="4"/>
      <c r="E125" s="5"/>
      <c r="F125" s="6"/>
      <c r="G125" s="7"/>
      <c r="H125" s="11"/>
      <c r="I125" s="12"/>
      <c r="J125" s="1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45">
      <c r="A126" s="24"/>
      <c r="B126" s="2"/>
      <c r="C126" s="10"/>
      <c r="D126" s="4"/>
      <c r="E126" s="5"/>
      <c r="F126" s="6"/>
      <c r="G126" s="7"/>
      <c r="H126" s="11"/>
      <c r="I126" s="12"/>
      <c r="J126" s="1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x14ac:dyDescent="0.45">
      <c r="A127" s="24"/>
      <c r="B127" s="2"/>
      <c r="C127" s="10"/>
      <c r="D127" s="4"/>
      <c r="E127" s="5"/>
      <c r="F127" s="6"/>
      <c r="G127" s="7"/>
      <c r="H127" s="11"/>
      <c r="I127" s="12"/>
      <c r="J127" s="1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x14ac:dyDescent="0.45">
      <c r="A128" s="24"/>
      <c r="B128" s="2"/>
      <c r="C128" s="10"/>
      <c r="D128" s="4"/>
      <c r="E128" s="5"/>
      <c r="F128" s="6"/>
      <c r="G128" s="7"/>
      <c r="H128" s="11"/>
      <c r="I128" s="12"/>
      <c r="J128" s="1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x14ac:dyDescent="0.45">
      <c r="A129" s="24"/>
      <c r="B129" s="2"/>
      <c r="C129" s="10"/>
      <c r="D129" s="4"/>
      <c r="E129" s="5"/>
      <c r="F129" s="6"/>
      <c r="G129" s="7"/>
      <c r="H129" s="11"/>
      <c r="I129" s="12"/>
      <c r="J129" s="1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x14ac:dyDescent="0.45">
      <c r="A130" s="24"/>
      <c r="B130" s="2"/>
      <c r="C130" s="10"/>
      <c r="D130" s="4"/>
      <c r="E130" s="5"/>
      <c r="F130" s="6"/>
      <c r="G130" s="7"/>
      <c r="H130" s="11"/>
      <c r="I130" s="12"/>
      <c r="J130" s="1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x14ac:dyDescent="0.45">
      <c r="A131" s="24"/>
      <c r="B131" s="2"/>
      <c r="C131" s="10"/>
      <c r="D131" s="4"/>
      <c r="E131" s="5"/>
      <c r="F131" s="6"/>
      <c r="G131" s="7"/>
      <c r="H131" s="11"/>
      <c r="I131" s="12"/>
      <c r="J131" s="1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x14ac:dyDescent="0.45">
      <c r="A132" s="24"/>
      <c r="B132" s="2"/>
      <c r="C132" s="10"/>
      <c r="D132" s="4"/>
      <c r="E132" s="5"/>
      <c r="F132" s="6"/>
      <c r="G132" s="7"/>
      <c r="H132" s="11"/>
      <c r="I132" s="12"/>
      <c r="J132" s="1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x14ac:dyDescent="0.45">
      <c r="A133" s="24"/>
      <c r="B133" s="2"/>
      <c r="C133" s="10"/>
      <c r="D133" s="4"/>
      <c r="E133" s="5"/>
      <c r="F133" s="6"/>
      <c r="G133" s="7"/>
      <c r="H133" s="11"/>
      <c r="I133" s="12"/>
      <c r="J133" s="1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x14ac:dyDescent="0.45">
      <c r="A134" s="24"/>
      <c r="B134" s="2"/>
      <c r="C134" s="10"/>
      <c r="D134" s="4"/>
      <c r="E134" s="5"/>
      <c r="F134" s="6"/>
      <c r="G134" s="7"/>
      <c r="H134" s="11"/>
      <c r="I134" s="12"/>
      <c r="J134" s="1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x14ac:dyDescent="0.45">
      <c r="A135" s="24"/>
      <c r="B135" s="2"/>
      <c r="C135" s="10"/>
      <c r="D135" s="4"/>
      <c r="E135" s="5"/>
      <c r="F135" s="6"/>
      <c r="G135" s="7"/>
      <c r="H135" s="11"/>
      <c r="I135" s="12"/>
      <c r="J135" s="1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x14ac:dyDescent="0.45">
      <c r="A136" s="24"/>
      <c r="B136" s="2"/>
      <c r="C136" s="10"/>
      <c r="D136" s="4"/>
      <c r="E136" s="5"/>
      <c r="F136" s="6"/>
      <c r="G136" s="7"/>
      <c r="H136" s="11"/>
      <c r="I136" s="12"/>
      <c r="J136" s="1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x14ac:dyDescent="0.45">
      <c r="A137" s="24"/>
      <c r="B137" s="2"/>
      <c r="C137" s="10"/>
      <c r="D137" s="4"/>
      <c r="E137" s="5"/>
      <c r="F137" s="6"/>
      <c r="G137" s="7"/>
      <c r="H137" s="11"/>
      <c r="I137" s="12"/>
      <c r="J137" s="1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x14ac:dyDescent="0.45">
      <c r="A138" s="24"/>
      <c r="B138" s="2"/>
      <c r="C138" s="10"/>
      <c r="D138" s="4"/>
      <c r="E138" s="5"/>
      <c r="F138" s="6"/>
      <c r="G138" s="7"/>
      <c r="H138" s="11"/>
      <c r="I138" s="12"/>
      <c r="J138" s="1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45">
      <c r="A139" s="24"/>
      <c r="B139" s="2"/>
      <c r="C139" s="10"/>
      <c r="D139" s="4"/>
      <c r="E139" s="5"/>
      <c r="F139" s="6"/>
      <c r="G139" s="7"/>
      <c r="H139" s="11"/>
      <c r="I139" s="12"/>
      <c r="J139" s="1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x14ac:dyDescent="0.45">
      <c r="A140" s="24"/>
      <c r="B140" s="2"/>
      <c r="C140" s="10"/>
      <c r="D140" s="4"/>
      <c r="E140" s="5"/>
      <c r="F140" s="6"/>
      <c r="G140" s="7"/>
      <c r="H140" s="11"/>
      <c r="I140" s="12"/>
      <c r="J140" s="1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x14ac:dyDescent="0.45">
      <c r="A141" s="24"/>
      <c r="B141" s="2"/>
      <c r="C141" s="10"/>
      <c r="D141" s="4"/>
      <c r="E141" s="5"/>
      <c r="F141" s="6"/>
      <c r="G141" s="7"/>
      <c r="H141" s="11"/>
      <c r="I141" s="12"/>
      <c r="J141" s="1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x14ac:dyDescent="0.45">
      <c r="A142" s="24"/>
      <c r="B142" s="2"/>
      <c r="C142" s="10"/>
      <c r="D142" s="4"/>
      <c r="E142" s="5"/>
      <c r="F142" s="6"/>
      <c r="G142" s="7"/>
      <c r="H142" s="11"/>
      <c r="I142" s="12"/>
      <c r="J142" s="1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x14ac:dyDescent="0.45">
      <c r="A143" s="24"/>
      <c r="B143" s="2"/>
      <c r="C143" s="10"/>
      <c r="D143" s="4"/>
      <c r="E143" s="5"/>
      <c r="F143" s="6"/>
      <c r="G143" s="7"/>
      <c r="H143" s="11"/>
      <c r="I143" s="12"/>
      <c r="J143" s="1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x14ac:dyDescent="0.45">
      <c r="A144" s="24"/>
      <c r="B144" s="2"/>
      <c r="C144" s="10"/>
      <c r="D144" s="4"/>
      <c r="E144" s="5"/>
      <c r="F144" s="6"/>
      <c r="G144" s="7"/>
      <c r="H144" s="11"/>
      <c r="I144" s="12"/>
      <c r="J144" s="1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x14ac:dyDescent="0.45">
      <c r="A145" s="24"/>
      <c r="B145" s="2"/>
      <c r="C145" s="10"/>
      <c r="D145" s="4"/>
      <c r="E145" s="5"/>
      <c r="F145" s="6"/>
      <c r="G145" s="7"/>
      <c r="H145" s="11"/>
      <c r="I145" s="12"/>
      <c r="J145" s="1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x14ac:dyDescent="0.45">
      <c r="A146" s="24"/>
      <c r="B146" s="2"/>
      <c r="C146" s="10"/>
      <c r="D146" s="4"/>
      <c r="E146" s="5"/>
      <c r="F146" s="6"/>
      <c r="G146" s="7"/>
      <c r="H146" s="11"/>
      <c r="I146" s="12"/>
      <c r="J146" s="1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x14ac:dyDescent="0.45">
      <c r="A147" s="24"/>
      <c r="B147" s="2"/>
      <c r="C147" s="10"/>
      <c r="D147" s="4"/>
      <c r="E147" s="5"/>
      <c r="F147" s="6"/>
      <c r="G147" s="7"/>
      <c r="H147" s="11"/>
      <c r="I147" s="12"/>
      <c r="J147" s="1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x14ac:dyDescent="0.45">
      <c r="A148" s="24"/>
      <c r="B148" s="2"/>
      <c r="C148" s="10"/>
      <c r="D148" s="4"/>
      <c r="E148" s="5"/>
      <c r="F148" s="6"/>
      <c r="G148" s="7"/>
      <c r="H148" s="11"/>
      <c r="I148" s="12"/>
      <c r="J148" s="1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x14ac:dyDescent="0.45">
      <c r="A149" s="24"/>
      <c r="B149" s="2"/>
      <c r="C149" s="10"/>
      <c r="D149" s="4"/>
      <c r="E149" s="5"/>
      <c r="F149" s="6"/>
      <c r="G149" s="7"/>
      <c r="H149" s="11"/>
      <c r="I149" s="12"/>
      <c r="J149" s="1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45">
      <c r="A150" s="24"/>
      <c r="B150" s="2"/>
      <c r="C150" s="10"/>
      <c r="D150" s="4"/>
      <c r="E150" s="5"/>
      <c r="F150" s="6"/>
      <c r="G150" s="7"/>
      <c r="H150" s="11"/>
      <c r="I150" s="12"/>
      <c r="J150" s="1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x14ac:dyDescent="0.45">
      <c r="A151" s="24"/>
      <c r="B151" s="2"/>
      <c r="C151" s="10"/>
      <c r="D151" s="4"/>
      <c r="E151" s="5"/>
      <c r="F151" s="6"/>
      <c r="G151" s="7"/>
      <c r="H151" s="11"/>
      <c r="I151" s="12"/>
      <c r="J151" s="1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x14ac:dyDescent="0.45">
      <c r="A152" s="24"/>
      <c r="B152" s="2"/>
      <c r="C152" s="10"/>
      <c r="D152" s="4"/>
      <c r="E152" s="5"/>
      <c r="F152" s="6"/>
      <c r="G152" s="7"/>
      <c r="H152" s="11"/>
      <c r="I152" s="12"/>
      <c r="J152" s="1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x14ac:dyDescent="0.45">
      <c r="A153" s="24"/>
      <c r="B153" s="2"/>
      <c r="C153" s="10"/>
      <c r="D153" s="4"/>
      <c r="E153" s="5"/>
      <c r="F153" s="6"/>
      <c r="G153" s="7"/>
      <c r="H153" s="11"/>
      <c r="I153" s="12"/>
      <c r="J153" s="1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x14ac:dyDescent="0.45">
      <c r="A154" s="24"/>
      <c r="B154" s="2"/>
      <c r="C154" s="10"/>
      <c r="D154" s="4"/>
      <c r="E154" s="5"/>
      <c r="F154" s="6"/>
      <c r="G154" s="7"/>
      <c r="H154" s="11"/>
      <c r="I154" s="12"/>
      <c r="J154" s="1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x14ac:dyDescent="0.45">
      <c r="A155" s="24"/>
      <c r="B155" s="2"/>
      <c r="C155" s="10"/>
      <c r="D155" s="4"/>
      <c r="E155" s="5"/>
      <c r="F155" s="6"/>
      <c r="G155" s="7"/>
      <c r="H155" s="11"/>
      <c r="I155" s="12"/>
      <c r="J155" s="1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x14ac:dyDescent="0.45">
      <c r="A156" s="24"/>
      <c r="B156" s="2"/>
      <c r="C156" s="10"/>
      <c r="D156" s="4"/>
      <c r="E156" s="5"/>
      <c r="F156" s="6"/>
      <c r="G156" s="7"/>
      <c r="H156" s="11"/>
      <c r="I156" s="12"/>
      <c r="J156" s="1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x14ac:dyDescent="0.45">
      <c r="A157" s="24"/>
      <c r="B157" s="2"/>
      <c r="C157" s="10"/>
      <c r="D157" s="4"/>
      <c r="E157" s="5"/>
      <c r="F157" s="6"/>
      <c r="G157" s="7"/>
      <c r="H157" s="11"/>
      <c r="I157" s="12"/>
      <c r="J157" s="1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x14ac:dyDescent="0.45">
      <c r="A158" s="24"/>
      <c r="B158" s="2"/>
      <c r="C158" s="10"/>
      <c r="D158" s="4"/>
      <c r="E158" s="5"/>
      <c r="F158" s="6"/>
      <c r="G158" s="7"/>
      <c r="H158" s="11"/>
      <c r="I158" s="12"/>
      <c r="J158" s="1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x14ac:dyDescent="0.45">
      <c r="A159" s="24"/>
      <c r="B159" s="2"/>
      <c r="C159" s="10"/>
      <c r="D159" s="4"/>
      <c r="E159" s="5"/>
      <c r="F159" s="6"/>
      <c r="G159" s="7"/>
      <c r="H159" s="11"/>
      <c r="I159" s="12"/>
      <c r="J159" s="1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x14ac:dyDescent="0.45">
      <c r="A160" s="24"/>
      <c r="B160" s="2"/>
      <c r="C160" s="10"/>
      <c r="D160" s="4"/>
      <c r="E160" s="5"/>
      <c r="F160" s="6"/>
      <c r="G160" s="7"/>
      <c r="H160" s="11"/>
      <c r="I160" s="12"/>
      <c r="J160" s="1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x14ac:dyDescent="0.45">
      <c r="A161" s="24"/>
      <c r="B161" s="2"/>
      <c r="C161" s="10"/>
      <c r="D161" s="4"/>
      <c r="E161" s="5"/>
      <c r="F161" s="6"/>
      <c r="G161" s="7"/>
      <c r="H161" s="11"/>
      <c r="I161" s="12"/>
      <c r="J161" s="1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x14ac:dyDescent="0.45">
      <c r="A162" s="24"/>
      <c r="B162" s="2"/>
      <c r="C162" s="10"/>
      <c r="D162" s="4"/>
      <c r="E162" s="5"/>
      <c r="F162" s="6"/>
      <c r="G162" s="7"/>
      <c r="H162" s="11"/>
      <c r="I162" s="12"/>
      <c r="J162" s="1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x14ac:dyDescent="0.45">
      <c r="A163" s="24"/>
      <c r="B163" s="2"/>
      <c r="C163" s="10"/>
      <c r="D163" s="4"/>
      <c r="E163" s="5"/>
      <c r="F163" s="6"/>
      <c r="G163" s="7"/>
      <c r="H163" s="11"/>
      <c r="I163" s="12"/>
      <c r="J163" s="1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x14ac:dyDescent="0.45">
      <c r="A164" s="24"/>
      <c r="B164" s="2"/>
      <c r="C164" s="10"/>
      <c r="D164" s="4"/>
      <c r="E164" s="5"/>
      <c r="F164" s="6"/>
      <c r="G164" s="7"/>
      <c r="H164" s="11"/>
      <c r="I164" s="12"/>
      <c r="J164" s="1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x14ac:dyDescent="0.45">
      <c r="A165" s="24"/>
      <c r="B165" s="2"/>
      <c r="C165" s="10"/>
      <c r="D165" s="4"/>
      <c r="E165" s="5"/>
      <c r="F165" s="6"/>
      <c r="G165" s="7"/>
      <c r="H165" s="11"/>
      <c r="I165" s="12"/>
      <c r="J165" s="1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x14ac:dyDescent="0.45">
      <c r="A166" s="24"/>
      <c r="B166" s="2"/>
      <c r="C166" s="10"/>
      <c r="D166" s="4"/>
      <c r="E166" s="5"/>
      <c r="F166" s="6"/>
      <c r="G166" s="7"/>
      <c r="H166" s="11"/>
      <c r="I166" s="12"/>
      <c r="J166" s="1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x14ac:dyDescent="0.45">
      <c r="A167" s="24"/>
      <c r="B167" s="2"/>
      <c r="C167" s="10"/>
      <c r="D167" s="4"/>
      <c r="E167" s="5"/>
      <c r="F167" s="6"/>
      <c r="G167" s="7"/>
      <c r="H167" s="11"/>
      <c r="I167" s="12"/>
      <c r="J167" s="1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x14ac:dyDescent="0.45">
      <c r="A168" s="24"/>
      <c r="B168" s="2"/>
      <c r="C168" s="10"/>
      <c r="D168" s="4"/>
      <c r="E168" s="5"/>
      <c r="F168" s="6"/>
      <c r="G168" s="7"/>
      <c r="H168" s="11"/>
      <c r="I168" s="12"/>
      <c r="J168" s="1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x14ac:dyDescent="0.45">
      <c r="A169" s="24"/>
      <c r="B169" s="2"/>
      <c r="C169" s="10"/>
      <c r="D169" s="4"/>
      <c r="E169" s="5"/>
      <c r="F169" s="6"/>
      <c r="G169" s="7"/>
      <c r="H169" s="11"/>
      <c r="I169" s="12"/>
      <c r="J169" s="1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x14ac:dyDescent="0.45">
      <c r="A170" s="24"/>
      <c r="B170" s="2"/>
      <c r="C170" s="10"/>
      <c r="D170" s="4"/>
      <c r="E170" s="5"/>
      <c r="F170" s="6"/>
      <c r="G170" s="7"/>
      <c r="H170" s="11"/>
      <c r="I170" s="12"/>
      <c r="J170" s="1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x14ac:dyDescent="0.45">
      <c r="A171" s="24"/>
      <c r="B171" s="2"/>
      <c r="C171" s="10"/>
      <c r="D171" s="4"/>
      <c r="E171" s="5"/>
      <c r="F171" s="6"/>
      <c r="G171" s="7"/>
      <c r="H171" s="11"/>
      <c r="I171" s="12"/>
      <c r="J171" s="1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x14ac:dyDescent="0.45">
      <c r="A172" s="24"/>
      <c r="B172" s="2"/>
      <c r="C172" s="10"/>
      <c r="D172" s="4"/>
      <c r="E172" s="5"/>
      <c r="F172" s="6"/>
      <c r="G172" s="7"/>
      <c r="H172" s="11"/>
      <c r="I172" s="12"/>
      <c r="J172" s="1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x14ac:dyDescent="0.45">
      <c r="A173" s="24"/>
      <c r="B173" s="2"/>
      <c r="C173" s="10"/>
      <c r="D173" s="4"/>
      <c r="E173" s="5"/>
      <c r="F173" s="6"/>
      <c r="G173" s="7"/>
      <c r="H173" s="11"/>
      <c r="I173" s="12"/>
      <c r="J173" s="1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x14ac:dyDescent="0.45">
      <c r="A174" s="24"/>
      <c r="B174" s="2"/>
      <c r="C174" s="10"/>
      <c r="D174" s="4"/>
      <c r="E174" s="5"/>
      <c r="F174" s="6"/>
      <c r="G174" s="7"/>
      <c r="H174" s="11"/>
      <c r="I174" s="12"/>
      <c r="J174" s="1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x14ac:dyDescent="0.45">
      <c r="A175" s="24"/>
      <c r="B175" s="2"/>
      <c r="C175" s="10"/>
      <c r="D175" s="4"/>
      <c r="E175" s="5"/>
      <c r="F175" s="6"/>
      <c r="G175" s="7"/>
      <c r="H175" s="11"/>
      <c r="I175" s="12"/>
      <c r="J175" s="1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x14ac:dyDescent="0.45">
      <c r="A176" s="24"/>
      <c r="B176" s="2"/>
      <c r="C176" s="10"/>
      <c r="D176" s="4"/>
      <c r="E176" s="5"/>
      <c r="F176" s="6"/>
      <c r="G176" s="7"/>
      <c r="H176" s="11"/>
      <c r="I176" s="12"/>
      <c r="J176" s="1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x14ac:dyDescent="0.45">
      <c r="A177" s="24"/>
      <c r="B177" s="2"/>
      <c r="C177" s="10"/>
      <c r="D177" s="4"/>
      <c r="E177" s="5"/>
      <c r="F177" s="6"/>
      <c r="G177" s="7"/>
      <c r="H177" s="11"/>
      <c r="I177" s="12"/>
      <c r="J177" s="1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x14ac:dyDescent="0.45">
      <c r="A178" s="24"/>
      <c r="B178" s="2"/>
      <c r="C178" s="10"/>
      <c r="D178" s="4"/>
      <c r="E178" s="5"/>
      <c r="F178" s="6"/>
      <c r="G178" s="7"/>
      <c r="H178" s="11"/>
      <c r="I178" s="12"/>
      <c r="J178" s="1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x14ac:dyDescent="0.45">
      <c r="A179" s="24"/>
      <c r="B179" s="2"/>
      <c r="C179" s="10"/>
      <c r="D179" s="4"/>
      <c r="E179" s="5"/>
      <c r="F179" s="6"/>
      <c r="G179" s="7"/>
      <c r="H179" s="11"/>
      <c r="I179" s="12"/>
      <c r="J179" s="1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x14ac:dyDescent="0.45">
      <c r="A180" s="24"/>
      <c r="B180" s="2"/>
      <c r="C180" s="10"/>
      <c r="D180" s="4"/>
      <c r="E180" s="5"/>
      <c r="F180" s="6"/>
      <c r="G180" s="7"/>
      <c r="H180" s="11"/>
      <c r="I180" s="12"/>
      <c r="J180" s="1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x14ac:dyDescent="0.45">
      <c r="A181" s="24"/>
      <c r="B181" s="2"/>
      <c r="C181" s="10"/>
      <c r="D181" s="4"/>
      <c r="E181" s="5"/>
      <c r="F181" s="6"/>
      <c r="G181" s="7"/>
      <c r="H181" s="11"/>
      <c r="I181" s="12"/>
      <c r="J181" s="1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x14ac:dyDescent="0.45">
      <c r="A182" s="24"/>
      <c r="B182" s="2"/>
      <c r="C182" s="10"/>
      <c r="D182" s="4"/>
      <c r="E182" s="5"/>
      <c r="F182" s="6"/>
      <c r="G182" s="7"/>
      <c r="H182" s="11"/>
      <c r="I182" s="12"/>
      <c r="J182" s="1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x14ac:dyDescent="0.45">
      <c r="A183" s="24"/>
      <c r="B183" s="2"/>
      <c r="C183" s="10"/>
      <c r="D183" s="4"/>
      <c r="E183" s="5"/>
      <c r="F183" s="6"/>
      <c r="G183" s="7"/>
      <c r="H183" s="11"/>
      <c r="I183" s="12"/>
      <c r="J183" s="1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x14ac:dyDescent="0.45">
      <c r="A184" s="24"/>
      <c r="B184" s="2"/>
      <c r="C184" s="10"/>
      <c r="D184" s="4"/>
      <c r="E184" s="5"/>
      <c r="F184" s="6"/>
      <c r="G184" s="7"/>
      <c r="H184" s="11"/>
      <c r="I184" s="12"/>
      <c r="J184" s="1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x14ac:dyDescent="0.45">
      <c r="A185" s="24"/>
      <c r="B185" s="2"/>
      <c r="C185" s="10"/>
      <c r="D185" s="4"/>
      <c r="E185" s="5"/>
      <c r="F185" s="6"/>
      <c r="G185" s="7"/>
      <c r="H185" s="11"/>
      <c r="I185" s="12"/>
      <c r="J185" s="1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x14ac:dyDescent="0.45">
      <c r="A186" s="24"/>
      <c r="B186" s="2"/>
      <c r="C186" s="10"/>
      <c r="D186" s="4"/>
      <c r="E186" s="5"/>
      <c r="F186" s="6"/>
      <c r="G186" s="7"/>
      <c r="H186" s="11"/>
      <c r="I186" s="12"/>
      <c r="J186" s="1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x14ac:dyDescent="0.45">
      <c r="A187" s="24"/>
      <c r="B187" s="2"/>
      <c r="C187" s="10"/>
      <c r="D187" s="4"/>
      <c r="E187" s="5"/>
      <c r="F187" s="6"/>
      <c r="G187" s="7"/>
      <c r="H187" s="11"/>
      <c r="I187" s="12"/>
      <c r="J187" s="1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x14ac:dyDescent="0.45">
      <c r="A188" s="24"/>
      <c r="B188" s="2"/>
      <c r="C188" s="10"/>
      <c r="D188" s="4"/>
      <c r="E188" s="5"/>
      <c r="F188" s="6"/>
      <c r="G188" s="7"/>
      <c r="H188" s="11"/>
      <c r="I188" s="12"/>
      <c r="J188" s="1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x14ac:dyDescent="0.45">
      <c r="A189" s="24"/>
      <c r="B189" s="2"/>
      <c r="C189" s="10"/>
      <c r="D189" s="4"/>
      <c r="E189" s="5"/>
      <c r="F189" s="6"/>
      <c r="G189" s="7"/>
      <c r="H189" s="11"/>
      <c r="I189" s="12"/>
      <c r="J189" s="1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x14ac:dyDescent="0.45">
      <c r="A190" s="24"/>
      <c r="B190" s="2"/>
      <c r="C190" s="10"/>
      <c r="D190" s="4"/>
      <c r="E190" s="5"/>
      <c r="F190" s="6"/>
      <c r="G190" s="7"/>
      <c r="H190" s="11"/>
      <c r="I190" s="12"/>
      <c r="J190" s="1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x14ac:dyDescent="0.45">
      <c r="A191" s="24"/>
      <c r="B191" s="2"/>
      <c r="C191" s="10"/>
      <c r="D191" s="4"/>
      <c r="E191" s="5"/>
      <c r="F191" s="6"/>
      <c r="G191" s="7"/>
      <c r="H191" s="11"/>
      <c r="I191" s="12"/>
      <c r="J191" s="1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x14ac:dyDescent="0.45">
      <c r="A192" s="24"/>
      <c r="B192" s="2"/>
      <c r="C192" s="10"/>
      <c r="D192" s="4"/>
      <c r="E192" s="5"/>
      <c r="F192" s="6"/>
      <c r="G192" s="7"/>
      <c r="H192" s="11"/>
      <c r="I192" s="12"/>
      <c r="J192" s="1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x14ac:dyDescent="0.45">
      <c r="A193" s="24"/>
      <c r="B193" s="2"/>
      <c r="C193" s="10"/>
      <c r="D193" s="4"/>
      <c r="E193" s="5"/>
      <c r="F193" s="6"/>
      <c r="G193" s="7"/>
      <c r="H193" s="11"/>
      <c r="I193" s="12"/>
      <c r="J193" s="1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x14ac:dyDescent="0.45">
      <c r="A194" s="24"/>
      <c r="B194" s="2"/>
      <c r="C194" s="10"/>
      <c r="D194" s="4"/>
      <c r="E194" s="5"/>
      <c r="F194" s="6"/>
      <c r="G194" s="7"/>
      <c r="H194" s="11"/>
      <c r="I194" s="12"/>
      <c r="J194" s="1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x14ac:dyDescent="0.45">
      <c r="A195" s="24"/>
      <c r="B195" s="2"/>
      <c r="C195" s="10"/>
      <c r="D195" s="4"/>
      <c r="E195" s="5"/>
      <c r="F195" s="6"/>
      <c r="G195" s="7"/>
      <c r="H195" s="11"/>
      <c r="I195" s="12"/>
      <c r="J195" s="1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x14ac:dyDescent="0.45">
      <c r="A196" s="24"/>
      <c r="B196" s="2"/>
      <c r="C196" s="10"/>
      <c r="D196" s="4"/>
      <c r="E196" s="5"/>
      <c r="F196" s="6"/>
      <c r="G196" s="7"/>
      <c r="H196" s="11"/>
      <c r="I196" s="12"/>
      <c r="J196" s="1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x14ac:dyDescent="0.45">
      <c r="A197" s="24"/>
      <c r="B197" s="2"/>
      <c r="C197" s="10"/>
      <c r="D197" s="4"/>
      <c r="E197" s="5"/>
      <c r="F197" s="6"/>
      <c r="G197" s="7"/>
      <c r="H197" s="11"/>
      <c r="I197" s="12"/>
      <c r="J197" s="1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x14ac:dyDescent="0.45">
      <c r="A198" s="24"/>
      <c r="B198" s="2"/>
      <c r="C198" s="10"/>
      <c r="D198" s="4"/>
      <c r="E198" s="5"/>
      <c r="F198" s="6"/>
      <c r="G198" s="7"/>
      <c r="H198" s="11"/>
      <c r="I198" s="12"/>
      <c r="J198" s="1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x14ac:dyDescent="0.45">
      <c r="A199" s="24"/>
      <c r="B199" s="2"/>
      <c r="C199" s="10"/>
      <c r="D199" s="4"/>
      <c r="E199" s="5"/>
      <c r="F199" s="6"/>
      <c r="G199" s="7"/>
      <c r="H199" s="11"/>
      <c r="I199" s="12"/>
      <c r="J199" s="1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x14ac:dyDescent="0.45">
      <c r="A200" s="24"/>
      <c r="B200" s="2"/>
      <c r="C200" s="10"/>
      <c r="D200" s="4"/>
      <c r="E200" s="5"/>
      <c r="F200" s="6"/>
      <c r="G200" s="7"/>
      <c r="H200" s="11"/>
      <c r="I200" s="12"/>
      <c r="J200" s="1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x14ac:dyDescent="0.45">
      <c r="A201" s="24"/>
      <c r="B201" s="2"/>
      <c r="C201" s="10"/>
      <c r="D201" s="4"/>
      <c r="E201" s="5"/>
      <c r="F201" s="6"/>
      <c r="G201" s="7"/>
      <c r="H201" s="11"/>
      <c r="I201" s="12"/>
      <c r="J201" s="1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x14ac:dyDescent="0.45">
      <c r="A202" s="24"/>
      <c r="B202" s="2"/>
      <c r="C202" s="10"/>
      <c r="D202" s="4"/>
      <c r="E202" s="5"/>
      <c r="F202" s="6"/>
      <c r="G202" s="7"/>
      <c r="H202" s="11"/>
      <c r="I202" s="12"/>
      <c r="J202" s="1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x14ac:dyDescent="0.45">
      <c r="A203" s="24"/>
      <c r="B203" s="2"/>
      <c r="C203" s="10"/>
      <c r="D203" s="4"/>
      <c r="E203" s="5"/>
      <c r="F203" s="6"/>
      <c r="G203" s="7"/>
      <c r="H203" s="11"/>
      <c r="I203" s="12"/>
      <c r="J203" s="1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x14ac:dyDescent="0.45">
      <c r="A204" s="24"/>
      <c r="B204" s="2"/>
      <c r="C204" s="10"/>
      <c r="D204" s="4"/>
      <c r="E204" s="5"/>
      <c r="F204" s="6"/>
      <c r="G204" s="7"/>
      <c r="H204" s="11"/>
      <c r="I204" s="12"/>
      <c r="J204" s="1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x14ac:dyDescent="0.45">
      <c r="A205" s="24"/>
      <c r="B205" s="2"/>
      <c r="C205" s="10"/>
      <c r="D205" s="4"/>
      <c r="E205" s="5"/>
      <c r="F205" s="6"/>
      <c r="G205" s="7"/>
      <c r="H205" s="11"/>
      <c r="I205" s="12"/>
      <c r="J205" s="1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x14ac:dyDescent="0.45">
      <c r="A206" s="24"/>
      <c r="B206" s="2"/>
      <c r="C206" s="10"/>
      <c r="D206" s="4"/>
      <c r="E206" s="5"/>
      <c r="F206" s="6"/>
      <c r="G206" s="7"/>
      <c r="H206" s="11"/>
      <c r="I206" s="12"/>
      <c r="J206" s="1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x14ac:dyDescent="0.45">
      <c r="A207" s="24"/>
      <c r="B207" s="2"/>
      <c r="C207" s="10"/>
      <c r="D207" s="4"/>
      <c r="E207" s="5"/>
      <c r="F207" s="6"/>
      <c r="G207" s="7"/>
      <c r="H207" s="11"/>
      <c r="I207" s="12"/>
      <c r="J207" s="1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x14ac:dyDescent="0.45">
      <c r="A208" s="24"/>
      <c r="B208" s="2"/>
      <c r="C208" s="10"/>
      <c r="D208" s="4"/>
      <c r="E208" s="5"/>
      <c r="F208" s="6"/>
      <c r="G208" s="7"/>
      <c r="H208" s="11"/>
      <c r="I208" s="12"/>
      <c r="J208" s="1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x14ac:dyDescent="0.45">
      <c r="A209" s="24"/>
      <c r="B209" s="2"/>
      <c r="C209" s="10"/>
      <c r="D209" s="4"/>
      <c r="E209" s="5"/>
      <c r="F209" s="6"/>
      <c r="G209" s="7"/>
      <c r="H209" s="11"/>
      <c r="I209" s="12"/>
      <c r="J209" s="1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x14ac:dyDescent="0.45">
      <c r="A210" s="24"/>
      <c r="B210" s="2"/>
      <c r="C210" s="10"/>
      <c r="D210" s="4"/>
      <c r="E210" s="5"/>
      <c r="F210" s="6"/>
      <c r="G210" s="7"/>
      <c r="H210" s="11"/>
      <c r="I210" s="12"/>
      <c r="J210" s="1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x14ac:dyDescent="0.45">
      <c r="A211" s="24"/>
      <c r="B211" s="2"/>
      <c r="C211" s="10"/>
      <c r="D211" s="4"/>
      <c r="E211" s="5"/>
      <c r="F211" s="6"/>
      <c r="G211" s="7"/>
      <c r="H211" s="11"/>
      <c r="I211" s="12"/>
      <c r="J211" s="1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x14ac:dyDescent="0.45">
      <c r="A212" s="24"/>
      <c r="B212" s="2"/>
      <c r="C212" s="10"/>
      <c r="D212" s="4"/>
      <c r="E212" s="5"/>
      <c r="F212" s="6"/>
      <c r="G212" s="7"/>
      <c r="H212" s="11"/>
      <c r="I212" s="12"/>
      <c r="J212" s="1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x14ac:dyDescent="0.45">
      <c r="A213" s="24"/>
      <c r="B213" s="2"/>
      <c r="C213" s="10"/>
      <c r="D213" s="4"/>
      <c r="E213" s="5"/>
      <c r="F213" s="6"/>
      <c r="G213" s="7"/>
      <c r="H213" s="11"/>
      <c r="I213" s="12"/>
      <c r="J213" s="1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x14ac:dyDescent="0.45">
      <c r="A214" s="24"/>
      <c r="B214" s="2"/>
      <c r="C214" s="10"/>
      <c r="D214" s="4"/>
      <c r="E214" s="5"/>
      <c r="F214" s="6"/>
      <c r="G214" s="7"/>
      <c r="H214" s="11"/>
      <c r="I214" s="12"/>
      <c r="J214" s="1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x14ac:dyDescent="0.45">
      <c r="A215" s="24"/>
      <c r="B215" s="2"/>
      <c r="C215" s="10"/>
      <c r="D215" s="4"/>
      <c r="E215" s="5"/>
      <c r="F215" s="6"/>
      <c r="G215" s="7"/>
      <c r="H215" s="11"/>
      <c r="I215" s="12"/>
      <c r="J215" s="1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x14ac:dyDescent="0.45">
      <c r="A216" s="24"/>
      <c r="B216" s="2"/>
      <c r="C216" s="10"/>
      <c r="D216" s="4"/>
      <c r="E216" s="5"/>
      <c r="F216" s="6"/>
      <c r="G216" s="7"/>
      <c r="H216" s="11"/>
      <c r="I216" s="12"/>
      <c r="J216" s="1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x14ac:dyDescent="0.45">
      <c r="A217" s="24"/>
      <c r="B217" s="2"/>
      <c r="C217" s="10"/>
      <c r="D217" s="4"/>
      <c r="E217" s="5"/>
      <c r="F217" s="6"/>
      <c r="G217" s="7"/>
      <c r="H217" s="11"/>
      <c r="I217" s="12"/>
      <c r="J217" s="1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x14ac:dyDescent="0.45">
      <c r="A218" s="24"/>
      <c r="B218" s="2"/>
      <c r="C218" s="10"/>
      <c r="D218" s="4"/>
      <c r="E218" s="5"/>
      <c r="F218" s="6"/>
      <c r="G218" s="7"/>
      <c r="H218" s="11"/>
      <c r="I218" s="12"/>
      <c r="J218" s="1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x14ac:dyDescent="0.45">
      <c r="A219" s="24"/>
      <c r="B219" s="2"/>
      <c r="C219" s="10"/>
      <c r="D219" s="4"/>
      <c r="E219" s="5"/>
      <c r="F219" s="6"/>
      <c r="G219" s="7"/>
      <c r="H219" s="11"/>
      <c r="I219" s="12"/>
      <c r="J219" s="1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x14ac:dyDescent="0.45">
      <c r="A220" s="24"/>
      <c r="B220" s="2"/>
      <c r="C220" s="10"/>
      <c r="D220" s="4"/>
      <c r="E220" s="5"/>
      <c r="F220" s="6"/>
      <c r="G220" s="7"/>
      <c r="H220" s="11"/>
      <c r="I220" s="12"/>
      <c r="J220" s="1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x14ac:dyDescent="0.45">
      <c r="A221" s="24"/>
      <c r="B221" s="2"/>
      <c r="C221" s="10"/>
      <c r="D221" s="4"/>
      <c r="E221" s="5"/>
      <c r="F221" s="6"/>
      <c r="G221" s="7"/>
      <c r="H221" s="11"/>
      <c r="I221" s="12"/>
      <c r="J221" s="1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x14ac:dyDescent="0.45">
      <c r="A222" s="24"/>
      <c r="B222" s="2"/>
      <c r="C222" s="10"/>
      <c r="D222" s="4"/>
      <c r="E222" s="5"/>
      <c r="F222" s="6"/>
      <c r="G222" s="7"/>
      <c r="H222" s="11"/>
      <c r="I222" s="12"/>
      <c r="J222" s="1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x14ac:dyDescent="0.45">
      <c r="A223" s="24"/>
      <c r="B223" s="2"/>
      <c r="C223" s="10"/>
      <c r="D223" s="4"/>
      <c r="E223" s="5"/>
      <c r="F223" s="6"/>
      <c r="G223" s="7"/>
      <c r="H223" s="11"/>
      <c r="I223" s="12"/>
      <c r="J223" s="1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x14ac:dyDescent="0.45">
      <c r="A224" s="24"/>
      <c r="B224" s="2"/>
      <c r="C224" s="10"/>
      <c r="D224" s="4"/>
      <c r="E224" s="5"/>
      <c r="F224" s="6"/>
      <c r="G224" s="7"/>
      <c r="H224" s="11"/>
      <c r="I224" s="12"/>
      <c r="J224" s="1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x14ac:dyDescent="0.45">
      <c r="A225" s="24"/>
      <c r="B225" s="2"/>
      <c r="C225" s="10"/>
      <c r="D225" s="4"/>
      <c r="E225" s="5"/>
      <c r="F225" s="6"/>
      <c r="G225" s="7"/>
      <c r="H225" s="11"/>
      <c r="I225" s="12"/>
      <c r="J225" s="1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x14ac:dyDescent="0.45">
      <c r="A226" s="24"/>
      <c r="B226" s="2"/>
      <c r="C226" s="10"/>
      <c r="D226" s="4"/>
      <c r="E226" s="5"/>
      <c r="F226" s="6"/>
      <c r="G226" s="7"/>
      <c r="H226" s="11"/>
      <c r="I226" s="12"/>
      <c r="J226" s="1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x14ac:dyDescent="0.45">
      <c r="A227" s="24"/>
      <c r="B227" s="2"/>
      <c r="C227" s="10"/>
      <c r="D227" s="4"/>
      <c r="E227" s="5"/>
      <c r="F227" s="6"/>
      <c r="G227" s="7"/>
      <c r="H227" s="11"/>
      <c r="I227" s="12"/>
      <c r="J227" s="1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x14ac:dyDescent="0.45">
      <c r="A228" s="24"/>
      <c r="B228" s="2"/>
      <c r="C228" s="10"/>
      <c r="D228" s="4"/>
      <c r="E228" s="5"/>
      <c r="F228" s="6"/>
      <c r="G228" s="7"/>
      <c r="H228" s="11"/>
      <c r="I228" s="12"/>
      <c r="J228" s="1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x14ac:dyDescent="0.45">
      <c r="A229" s="24"/>
      <c r="B229" s="2"/>
      <c r="C229" s="10"/>
      <c r="D229" s="4"/>
      <c r="E229" s="5"/>
      <c r="F229" s="6"/>
      <c r="G229" s="7"/>
      <c r="H229" s="11"/>
      <c r="I229" s="12"/>
      <c r="J229" s="1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x14ac:dyDescent="0.45">
      <c r="A230" s="24"/>
      <c r="B230" s="2"/>
      <c r="C230" s="10"/>
      <c r="D230" s="4"/>
      <c r="E230" s="5"/>
      <c r="F230" s="6"/>
      <c r="G230" s="7"/>
      <c r="H230" s="11"/>
      <c r="I230" s="12"/>
      <c r="J230" s="1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x14ac:dyDescent="0.45">
      <c r="A231" s="24"/>
      <c r="B231" s="2"/>
      <c r="C231" s="10"/>
      <c r="D231" s="4"/>
      <c r="E231" s="5"/>
      <c r="F231" s="6"/>
      <c r="G231" s="7"/>
      <c r="H231" s="11"/>
      <c r="I231" s="12"/>
      <c r="J231" s="1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x14ac:dyDescent="0.45">
      <c r="A232" s="24"/>
      <c r="B232" s="2"/>
      <c r="C232" s="10"/>
      <c r="D232" s="4"/>
      <c r="E232" s="5"/>
      <c r="F232" s="6"/>
      <c r="G232" s="7"/>
      <c r="H232" s="11"/>
      <c r="I232" s="12"/>
      <c r="J232" s="1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x14ac:dyDescent="0.45">
      <c r="A233" s="24"/>
      <c r="B233" s="2"/>
      <c r="C233" s="10"/>
      <c r="D233" s="4"/>
      <c r="E233" s="5"/>
      <c r="F233" s="6"/>
      <c r="G233" s="7"/>
      <c r="H233" s="11"/>
      <c r="I233" s="12"/>
      <c r="J233" s="1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x14ac:dyDescent="0.45">
      <c r="A234" s="24"/>
      <c r="B234" s="2"/>
      <c r="C234" s="10"/>
      <c r="D234" s="4"/>
      <c r="E234" s="5"/>
      <c r="F234" s="6"/>
      <c r="G234" s="7"/>
      <c r="H234" s="11"/>
      <c r="I234" s="12"/>
      <c r="J234" s="1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x14ac:dyDescent="0.45">
      <c r="A235" s="24"/>
      <c r="B235" s="2"/>
      <c r="C235" s="10"/>
      <c r="D235" s="4"/>
      <c r="E235" s="5"/>
      <c r="F235" s="6"/>
      <c r="G235" s="7"/>
      <c r="H235" s="11"/>
      <c r="I235" s="12"/>
      <c r="J235" s="1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x14ac:dyDescent="0.45">
      <c r="A236" s="24"/>
      <c r="B236" s="2"/>
      <c r="C236" s="10"/>
      <c r="D236" s="4"/>
      <c r="E236" s="5"/>
      <c r="F236" s="6"/>
      <c r="G236" s="7"/>
      <c r="H236" s="11"/>
      <c r="I236" s="12"/>
      <c r="J236" s="1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x14ac:dyDescent="0.45">
      <c r="A237" s="24"/>
      <c r="B237" s="2"/>
      <c r="C237" s="10"/>
      <c r="D237" s="4"/>
      <c r="E237" s="5"/>
      <c r="F237" s="6"/>
      <c r="G237" s="7"/>
      <c r="H237" s="11"/>
      <c r="I237" s="12"/>
      <c r="J237" s="1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x14ac:dyDescent="0.45">
      <c r="A238" s="24"/>
      <c r="B238" s="2"/>
      <c r="C238" s="10"/>
      <c r="D238" s="4"/>
      <c r="E238" s="5"/>
      <c r="F238" s="6"/>
      <c r="G238" s="7"/>
      <c r="H238" s="11"/>
      <c r="I238" s="12"/>
      <c r="J238" s="1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x14ac:dyDescent="0.45">
      <c r="A239" s="24"/>
      <c r="B239" s="2"/>
      <c r="C239" s="10"/>
      <c r="D239" s="4"/>
      <c r="E239" s="5"/>
      <c r="F239" s="6"/>
      <c r="G239" s="7"/>
      <c r="H239" s="11"/>
      <c r="I239" s="12"/>
      <c r="J239" s="1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x14ac:dyDescent="0.45">
      <c r="A240" s="24"/>
      <c r="B240" s="2"/>
      <c r="C240" s="10"/>
      <c r="D240" s="4"/>
      <c r="E240" s="5"/>
      <c r="F240" s="6"/>
      <c r="G240" s="7"/>
      <c r="H240" s="11"/>
      <c r="I240" s="12"/>
      <c r="J240" s="1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x14ac:dyDescent="0.45">
      <c r="A241" s="24"/>
      <c r="B241" s="2"/>
      <c r="C241" s="10"/>
      <c r="D241" s="4"/>
      <c r="E241" s="5"/>
      <c r="F241" s="6"/>
      <c r="G241" s="7"/>
      <c r="H241" s="11"/>
      <c r="I241" s="12"/>
      <c r="J241" s="1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x14ac:dyDescent="0.45">
      <c r="A242" s="24"/>
      <c r="B242" s="2"/>
      <c r="C242" s="10"/>
      <c r="D242" s="4"/>
      <c r="E242" s="5"/>
      <c r="F242" s="6"/>
      <c r="G242" s="7"/>
      <c r="H242" s="11"/>
      <c r="I242" s="12"/>
      <c r="J242" s="1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x14ac:dyDescent="0.45">
      <c r="A243" s="24"/>
      <c r="B243" s="2"/>
      <c r="C243" s="10"/>
      <c r="D243" s="4"/>
      <c r="E243" s="5"/>
      <c r="F243" s="6"/>
      <c r="G243" s="7"/>
      <c r="H243" s="11"/>
      <c r="I243" s="12"/>
      <c r="J243" s="1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x14ac:dyDescent="0.45">
      <c r="A244" s="24"/>
      <c r="B244" s="2"/>
      <c r="C244" s="10"/>
      <c r="D244" s="4"/>
      <c r="E244" s="5"/>
      <c r="F244" s="6"/>
      <c r="G244" s="7"/>
      <c r="H244" s="11"/>
      <c r="I244" s="12"/>
      <c r="J244" s="1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x14ac:dyDescent="0.45">
      <c r="A245" s="24"/>
      <c r="B245" s="2"/>
      <c r="C245" s="10"/>
      <c r="D245" s="4"/>
      <c r="E245" s="5"/>
      <c r="F245" s="6"/>
      <c r="G245" s="7"/>
      <c r="H245" s="11"/>
      <c r="I245" s="12"/>
      <c r="J245" s="1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x14ac:dyDescent="0.45">
      <c r="A246" s="24"/>
      <c r="B246" s="2"/>
      <c r="C246" s="10"/>
      <c r="D246" s="4"/>
      <c r="E246" s="5"/>
      <c r="F246" s="6"/>
      <c r="G246" s="7"/>
      <c r="H246" s="11"/>
      <c r="I246" s="12"/>
      <c r="J246" s="1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x14ac:dyDescent="0.45">
      <c r="A247" s="24"/>
      <c r="B247" s="2"/>
      <c r="C247" s="10"/>
      <c r="D247" s="4"/>
      <c r="E247" s="5"/>
      <c r="F247" s="6"/>
      <c r="G247" s="7"/>
      <c r="H247" s="11"/>
      <c r="I247" s="12"/>
      <c r="J247" s="1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x14ac:dyDescent="0.45">
      <c r="A248" s="24"/>
      <c r="B248" s="2"/>
      <c r="C248" s="10"/>
      <c r="D248" s="4"/>
      <c r="E248" s="5"/>
      <c r="F248" s="6"/>
      <c r="G248" s="7"/>
      <c r="H248" s="11"/>
      <c r="I248" s="12"/>
      <c r="J248" s="1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x14ac:dyDescent="0.45">
      <c r="A249" s="24"/>
      <c r="B249" s="2"/>
      <c r="C249" s="10"/>
      <c r="D249" s="4"/>
      <c r="E249" s="5"/>
      <c r="F249" s="6"/>
      <c r="G249" s="7"/>
      <c r="H249" s="11"/>
      <c r="I249" s="12"/>
      <c r="J249" s="1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x14ac:dyDescent="0.45">
      <c r="A250" s="24"/>
      <c r="B250" s="2"/>
      <c r="C250" s="10"/>
      <c r="D250" s="4"/>
      <c r="E250" s="5"/>
      <c r="F250" s="6"/>
      <c r="G250" s="7"/>
      <c r="H250" s="11"/>
      <c r="I250" s="12"/>
      <c r="J250" s="1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x14ac:dyDescent="0.45">
      <c r="A251" s="24"/>
      <c r="B251" s="2"/>
      <c r="C251" s="10"/>
      <c r="D251" s="4"/>
      <c r="E251" s="5"/>
      <c r="F251" s="6"/>
      <c r="G251" s="7"/>
      <c r="H251" s="11"/>
      <c r="I251" s="12"/>
      <c r="J251" s="1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x14ac:dyDescent="0.45">
      <c r="A252" s="24"/>
      <c r="B252" s="2"/>
      <c r="C252" s="10"/>
      <c r="D252" s="4"/>
      <c r="E252" s="5"/>
      <c r="F252" s="6"/>
      <c r="G252" s="7"/>
      <c r="H252" s="11"/>
      <c r="I252" s="12"/>
      <c r="J252" s="1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x14ac:dyDescent="0.45">
      <c r="A253" s="24"/>
      <c r="B253" s="2"/>
      <c r="C253" s="10"/>
      <c r="D253" s="4"/>
      <c r="E253" s="5"/>
      <c r="F253" s="6"/>
      <c r="G253" s="7"/>
      <c r="H253" s="11"/>
      <c r="I253" s="12"/>
      <c r="J253" s="1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x14ac:dyDescent="0.45">
      <c r="A254" s="24"/>
      <c r="B254" s="2"/>
      <c r="C254" s="10"/>
      <c r="D254" s="4"/>
      <c r="E254" s="5"/>
      <c r="F254" s="6"/>
      <c r="G254" s="7"/>
      <c r="H254" s="11"/>
      <c r="I254" s="12"/>
      <c r="J254" s="1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x14ac:dyDescent="0.45">
      <c r="A255" s="24"/>
      <c r="B255" s="2"/>
      <c r="C255" s="10"/>
      <c r="D255" s="4"/>
      <c r="E255" s="5"/>
      <c r="F255" s="6"/>
      <c r="G255" s="7"/>
      <c r="H255" s="11"/>
      <c r="I255" s="12"/>
      <c r="J255" s="1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x14ac:dyDescent="0.45">
      <c r="A256" s="24"/>
      <c r="B256" s="2"/>
      <c r="C256" s="10"/>
      <c r="D256" s="4"/>
      <c r="E256" s="5"/>
      <c r="F256" s="6"/>
      <c r="G256" s="7"/>
      <c r="H256" s="11"/>
      <c r="I256" s="12"/>
      <c r="J256" s="1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x14ac:dyDescent="0.45">
      <c r="A257" s="24"/>
      <c r="B257" s="2"/>
      <c r="C257" s="10"/>
      <c r="D257" s="4"/>
      <c r="E257" s="5"/>
      <c r="F257" s="6"/>
      <c r="G257" s="7"/>
      <c r="H257" s="11"/>
      <c r="I257" s="12"/>
      <c r="J257" s="1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x14ac:dyDescent="0.45">
      <c r="A258" s="24"/>
      <c r="B258" s="2"/>
      <c r="C258" s="10"/>
      <c r="D258" s="4"/>
      <c r="E258" s="5"/>
      <c r="F258" s="6"/>
      <c r="G258" s="7"/>
      <c r="H258" s="11"/>
      <c r="I258" s="12"/>
      <c r="J258" s="1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x14ac:dyDescent="0.45">
      <c r="A259" s="24"/>
      <c r="B259" s="2"/>
      <c r="C259" s="10"/>
      <c r="D259" s="4"/>
      <c r="E259" s="5"/>
      <c r="F259" s="6"/>
      <c r="G259" s="7"/>
      <c r="H259" s="11"/>
      <c r="I259" s="12"/>
      <c r="J259" s="1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x14ac:dyDescent="0.45">
      <c r="A260" s="24"/>
      <c r="B260" s="2"/>
      <c r="C260" s="10"/>
      <c r="D260" s="4"/>
      <c r="E260" s="5"/>
      <c r="F260" s="6"/>
      <c r="G260" s="7"/>
      <c r="H260" s="11"/>
      <c r="I260" s="12"/>
      <c r="J260" s="1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x14ac:dyDescent="0.45">
      <c r="A261" s="24"/>
      <c r="B261" s="2"/>
      <c r="C261" s="10"/>
      <c r="D261" s="4"/>
      <c r="E261" s="5"/>
      <c r="F261" s="6"/>
      <c r="G261" s="7"/>
      <c r="H261" s="11"/>
      <c r="I261" s="12"/>
      <c r="J261" s="1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x14ac:dyDescent="0.45">
      <c r="A262" s="24"/>
      <c r="B262" s="2"/>
      <c r="C262" s="10"/>
      <c r="D262" s="4"/>
      <c r="E262" s="5"/>
      <c r="F262" s="6"/>
      <c r="G262" s="7"/>
      <c r="H262" s="11"/>
      <c r="I262" s="12"/>
      <c r="J262" s="1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x14ac:dyDescent="0.45">
      <c r="A263" s="24"/>
      <c r="B263" s="2"/>
      <c r="C263" s="10"/>
      <c r="D263" s="4"/>
      <c r="E263" s="5"/>
      <c r="F263" s="6"/>
      <c r="G263" s="7"/>
      <c r="H263" s="11"/>
      <c r="I263" s="12"/>
      <c r="J263" s="1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x14ac:dyDescent="0.45">
      <c r="A264" s="24"/>
      <c r="B264" s="2"/>
      <c r="C264" s="10"/>
      <c r="D264" s="4"/>
      <c r="E264" s="5"/>
      <c r="F264" s="6"/>
      <c r="G264" s="7"/>
      <c r="H264" s="11"/>
      <c r="I264" s="12"/>
      <c r="J264" s="1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x14ac:dyDescent="0.45">
      <c r="A265" s="24"/>
      <c r="B265" s="2"/>
      <c r="C265" s="10"/>
      <c r="D265" s="4"/>
      <c r="E265" s="5"/>
      <c r="F265" s="6"/>
      <c r="G265" s="7"/>
      <c r="H265" s="11"/>
      <c r="I265" s="12"/>
      <c r="J265" s="1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x14ac:dyDescent="0.45">
      <c r="A266" s="24"/>
      <c r="B266" s="2"/>
      <c r="C266" s="10"/>
      <c r="D266" s="4"/>
      <c r="E266" s="5"/>
      <c r="F266" s="6"/>
      <c r="G266" s="7"/>
      <c r="H266" s="11"/>
      <c r="I266" s="12"/>
      <c r="J266" s="1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x14ac:dyDescent="0.45">
      <c r="A267" s="24"/>
      <c r="B267" s="2"/>
      <c r="C267" s="10"/>
      <c r="D267" s="4"/>
      <c r="E267" s="5"/>
      <c r="F267" s="6"/>
      <c r="G267" s="7"/>
      <c r="H267" s="11"/>
      <c r="I267" s="12"/>
      <c r="J267" s="1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x14ac:dyDescent="0.45">
      <c r="A268" s="24"/>
      <c r="B268" s="2"/>
      <c r="C268" s="10"/>
      <c r="D268" s="4"/>
      <c r="E268" s="5"/>
      <c r="F268" s="6"/>
      <c r="G268" s="7"/>
      <c r="H268" s="11"/>
      <c r="I268" s="12"/>
      <c r="J268" s="1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x14ac:dyDescent="0.45">
      <c r="A269" s="24"/>
      <c r="B269" s="2"/>
      <c r="C269" s="10"/>
      <c r="D269" s="4"/>
      <c r="E269" s="5"/>
      <c r="F269" s="6"/>
      <c r="G269" s="7"/>
      <c r="H269" s="11"/>
      <c r="I269" s="12"/>
      <c r="J269" s="1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x14ac:dyDescent="0.45">
      <c r="A270" s="24"/>
      <c r="B270" s="2"/>
      <c r="C270" s="10"/>
      <c r="D270" s="4"/>
      <c r="E270" s="5"/>
      <c r="F270" s="6"/>
      <c r="G270" s="7"/>
      <c r="H270" s="11"/>
      <c r="I270" s="12"/>
      <c r="J270" s="1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x14ac:dyDescent="0.45">
      <c r="A271" s="24"/>
      <c r="B271" s="2"/>
      <c r="C271" s="10"/>
      <c r="D271" s="4"/>
      <c r="E271" s="5"/>
      <c r="F271" s="6"/>
      <c r="G271" s="7"/>
      <c r="H271" s="11"/>
      <c r="I271" s="12"/>
      <c r="J271" s="1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x14ac:dyDescent="0.45">
      <c r="A272" s="24"/>
      <c r="B272" s="2"/>
      <c r="C272" s="10"/>
      <c r="D272" s="4"/>
      <c r="E272" s="5"/>
      <c r="F272" s="6"/>
      <c r="G272" s="7"/>
      <c r="H272" s="11"/>
      <c r="I272" s="12"/>
      <c r="J272" s="1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x14ac:dyDescent="0.45">
      <c r="A273" s="24"/>
      <c r="B273" s="2"/>
      <c r="C273" s="10"/>
      <c r="D273" s="4"/>
      <c r="E273" s="5"/>
      <c r="F273" s="6"/>
      <c r="G273" s="7"/>
      <c r="H273" s="11"/>
      <c r="I273" s="12"/>
      <c r="J273" s="1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x14ac:dyDescent="0.45">
      <c r="A274" s="24"/>
      <c r="B274" s="2"/>
      <c r="C274" s="10"/>
      <c r="D274" s="4"/>
      <c r="E274" s="5"/>
      <c r="F274" s="6"/>
      <c r="G274" s="7"/>
      <c r="H274" s="11"/>
      <c r="I274" s="12"/>
      <c r="J274" s="1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x14ac:dyDescent="0.45">
      <c r="A275" s="24"/>
      <c r="B275" s="2"/>
      <c r="C275" s="10"/>
      <c r="D275" s="4"/>
      <c r="E275" s="5"/>
      <c r="F275" s="6"/>
      <c r="G275" s="7"/>
      <c r="H275" s="11"/>
      <c r="I275" s="12"/>
      <c r="J275" s="1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x14ac:dyDescent="0.45">
      <c r="A276" s="24"/>
      <c r="B276" s="2"/>
      <c r="C276" s="10"/>
      <c r="D276" s="4"/>
      <c r="E276" s="5"/>
      <c r="F276" s="6"/>
      <c r="G276" s="7"/>
      <c r="H276" s="11"/>
      <c r="I276" s="12"/>
      <c r="J276" s="1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x14ac:dyDescent="0.45">
      <c r="A277" s="24"/>
      <c r="B277" s="2"/>
      <c r="C277" s="10"/>
      <c r="D277" s="4"/>
      <c r="E277" s="5"/>
      <c r="F277" s="6"/>
      <c r="G277" s="7"/>
      <c r="H277" s="11"/>
      <c r="I277" s="12"/>
      <c r="J277" s="1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x14ac:dyDescent="0.45">
      <c r="A278" s="24"/>
      <c r="B278" s="2"/>
      <c r="C278" s="10"/>
      <c r="D278" s="4"/>
      <c r="E278" s="5"/>
      <c r="F278" s="6"/>
      <c r="G278" s="7"/>
      <c r="H278" s="11"/>
      <c r="I278" s="12"/>
      <c r="J278" s="1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x14ac:dyDescent="0.45">
      <c r="A279" s="24"/>
      <c r="B279" s="2"/>
      <c r="C279" s="10"/>
      <c r="D279" s="4"/>
      <c r="E279" s="5"/>
      <c r="F279" s="6"/>
      <c r="G279" s="7"/>
      <c r="H279" s="11"/>
      <c r="I279" s="12"/>
      <c r="J279" s="1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x14ac:dyDescent="0.45">
      <c r="A280" s="24"/>
      <c r="B280" s="2"/>
      <c r="C280" s="10"/>
      <c r="D280" s="4"/>
      <c r="E280" s="5"/>
      <c r="F280" s="6"/>
      <c r="G280" s="7"/>
      <c r="H280" s="11"/>
      <c r="I280" s="12"/>
      <c r="J280" s="1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x14ac:dyDescent="0.45">
      <c r="A281" s="24"/>
      <c r="B281" s="2"/>
      <c r="C281" s="10"/>
      <c r="D281" s="4"/>
      <c r="E281" s="5"/>
      <c r="F281" s="6"/>
      <c r="G281" s="7"/>
      <c r="H281" s="11"/>
      <c r="I281" s="12"/>
      <c r="J281" s="1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x14ac:dyDescent="0.45">
      <c r="A282" s="24"/>
      <c r="B282" s="2"/>
      <c r="C282" s="10"/>
      <c r="D282" s="4"/>
      <c r="E282" s="5"/>
      <c r="F282" s="6"/>
      <c r="G282" s="7"/>
      <c r="H282" s="11"/>
      <c r="I282" s="12"/>
      <c r="J282" s="1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x14ac:dyDescent="0.45">
      <c r="A283" s="24"/>
      <c r="B283" s="2"/>
      <c r="C283" s="10"/>
      <c r="D283" s="4"/>
      <c r="E283" s="5"/>
      <c r="F283" s="6"/>
      <c r="G283" s="7"/>
      <c r="H283" s="11"/>
      <c r="I283" s="12"/>
      <c r="J283" s="1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x14ac:dyDescent="0.45">
      <c r="A284" s="24"/>
      <c r="B284" s="2"/>
      <c r="C284" s="10"/>
      <c r="D284" s="4"/>
      <c r="E284" s="5"/>
      <c r="F284" s="6"/>
      <c r="G284" s="7"/>
      <c r="H284" s="11"/>
      <c r="I284" s="12"/>
      <c r="J284" s="1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x14ac:dyDescent="0.45">
      <c r="A285" s="24"/>
      <c r="B285" s="2"/>
      <c r="C285" s="10"/>
      <c r="D285" s="4"/>
      <c r="E285" s="5"/>
      <c r="F285" s="6"/>
      <c r="G285" s="7"/>
      <c r="H285" s="11"/>
      <c r="I285" s="12"/>
      <c r="J285" s="1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x14ac:dyDescent="0.45">
      <c r="A286" s="24"/>
      <c r="B286" s="2"/>
      <c r="C286" s="10"/>
      <c r="D286" s="4"/>
      <c r="E286" s="5"/>
      <c r="F286" s="6"/>
      <c r="G286" s="7"/>
      <c r="H286" s="11"/>
      <c r="I286" s="12"/>
      <c r="J286" s="1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x14ac:dyDescent="0.45">
      <c r="A287" s="24"/>
      <c r="B287" s="2"/>
      <c r="C287" s="10"/>
      <c r="D287" s="4"/>
      <c r="E287" s="5"/>
      <c r="F287" s="6"/>
      <c r="G287" s="7"/>
      <c r="H287" s="11"/>
      <c r="I287" s="12"/>
      <c r="J287" s="1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x14ac:dyDescent="0.45">
      <c r="A288" s="24"/>
      <c r="B288" s="2"/>
      <c r="C288" s="10"/>
      <c r="D288" s="4"/>
      <c r="E288" s="5"/>
      <c r="F288" s="6"/>
      <c r="G288" s="7"/>
      <c r="H288" s="11"/>
      <c r="I288" s="12"/>
      <c r="J288" s="1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x14ac:dyDescent="0.45">
      <c r="A289" s="24"/>
      <c r="B289" s="2"/>
      <c r="C289" s="10"/>
      <c r="D289" s="4"/>
      <c r="E289" s="5"/>
      <c r="F289" s="6"/>
      <c r="G289" s="7"/>
      <c r="H289" s="11"/>
      <c r="I289" s="12"/>
      <c r="J289" s="1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x14ac:dyDescent="0.45">
      <c r="A290" s="24"/>
      <c r="B290" s="2"/>
      <c r="C290" s="10"/>
      <c r="D290" s="4"/>
      <c r="E290" s="5"/>
      <c r="F290" s="6"/>
      <c r="G290" s="7"/>
      <c r="H290" s="11"/>
      <c r="I290" s="12"/>
      <c r="J290" s="1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x14ac:dyDescent="0.45">
      <c r="A291" s="24"/>
      <c r="B291" s="2"/>
      <c r="C291" s="10"/>
      <c r="D291" s="4"/>
      <c r="E291" s="5"/>
      <c r="F291" s="6"/>
      <c r="G291" s="7"/>
      <c r="H291" s="11"/>
      <c r="I291" s="12"/>
      <c r="J291" s="1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x14ac:dyDescent="0.45">
      <c r="A292" s="24"/>
      <c r="B292" s="2"/>
      <c r="C292" s="10"/>
      <c r="D292" s="4"/>
      <c r="E292" s="5"/>
      <c r="F292" s="6"/>
      <c r="G292" s="7"/>
      <c r="H292" s="11"/>
      <c r="I292" s="12"/>
      <c r="J292" s="1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x14ac:dyDescent="0.45">
      <c r="A293" s="24"/>
      <c r="B293" s="2"/>
      <c r="C293" s="10"/>
      <c r="D293" s="4"/>
      <c r="E293" s="5"/>
      <c r="F293" s="6"/>
      <c r="G293" s="7"/>
      <c r="H293" s="11"/>
      <c r="I293" s="12"/>
      <c r="J293" s="1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x14ac:dyDescent="0.45">
      <c r="A294" s="24"/>
      <c r="B294" s="2"/>
      <c r="C294" s="10"/>
      <c r="D294" s="4"/>
      <c r="E294" s="5"/>
      <c r="F294" s="6"/>
      <c r="G294" s="7"/>
      <c r="H294" s="11"/>
      <c r="I294" s="12"/>
      <c r="J294" s="1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x14ac:dyDescent="0.45">
      <c r="A295" s="24"/>
      <c r="B295" s="2"/>
      <c r="C295" s="10"/>
      <c r="D295" s="4"/>
      <c r="E295" s="5"/>
      <c r="F295" s="6"/>
      <c r="G295" s="7"/>
      <c r="H295" s="11"/>
      <c r="I295" s="12"/>
      <c r="J295" s="1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x14ac:dyDescent="0.45">
      <c r="A296" s="24"/>
      <c r="B296" s="2"/>
      <c r="C296" s="10"/>
      <c r="D296" s="4"/>
      <c r="E296" s="5"/>
      <c r="F296" s="6"/>
      <c r="G296" s="7"/>
      <c r="H296" s="11"/>
      <c r="I296" s="12"/>
      <c r="J296" s="1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x14ac:dyDescent="0.45">
      <c r="A297" s="24"/>
      <c r="B297" s="2"/>
      <c r="C297" s="10"/>
      <c r="D297" s="4"/>
      <c r="E297" s="5"/>
      <c r="F297" s="6"/>
      <c r="G297" s="7"/>
      <c r="H297" s="11"/>
      <c r="I297" s="12"/>
      <c r="J297" s="1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x14ac:dyDescent="0.45">
      <c r="A298" s="24"/>
      <c r="B298" s="2"/>
      <c r="C298" s="10"/>
      <c r="D298" s="4"/>
      <c r="E298" s="5"/>
      <c r="F298" s="6"/>
      <c r="G298" s="7"/>
      <c r="H298" s="11"/>
      <c r="I298" s="12"/>
      <c r="J298" s="1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x14ac:dyDescent="0.45">
      <c r="A299" s="24"/>
      <c r="B299" s="2"/>
      <c r="C299" s="10"/>
      <c r="D299" s="4"/>
      <c r="E299" s="5"/>
      <c r="F299" s="6"/>
      <c r="G299" s="7"/>
      <c r="H299" s="11"/>
      <c r="I299" s="12"/>
      <c r="J299" s="1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x14ac:dyDescent="0.45">
      <c r="A300" s="24"/>
      <c r="B300" s="2"/>
      <c r="C300" s="10"/>
      <c r="D300" s="4"/>
      <c r="E300" s="5"/>
      <c r="F300" s="6"/>
      <c r="G300" s="7"/>
      <c r="H300" s="11"/>
      <c r="I300" s="12"/>
      <c r="J300" s="1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x14ac:dyDescent="0.45">
      <c r="A301" s="24"/>
      <c r="B301" s="2"/>
      <c r="C301" s="10"/>
      <c r="D301" s="4"/>
      <c r="E301" s="5"/>
      <c r="F301" s="6"/>
      <c r="G301" s="7"/>
      <c r="H301" s="11"/>
      <c r="I301" s="12"/>
      <c r="J301" s="1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x14ac:dyDescent="0.45">
      <c r="A302" s="24"/>
      <c r="B302" s="2"/>
      <c r="C302" s="10"/>
      <c r="D302" s="4"/>
      <c r="E302" s="5"/>
      <c r="F302" s="6"/>
      <c r="G302" s="7"/>
      <c r="H302" s="11"/>
      <c r="I302" s="12"/>
      <c r="J302" s="1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x14ac:dyDescent="0.45">
      <c r="A303" s="24"/>
      <c r="B303" s="2"/>
      <c r="C303" s="10"/>
      <c r="D303" s="4"/>
      <c r="E303" s="5"/>
      <c r="F303" s="6"/>
      <c r="G303" s="7"/>
      <c r="H303" s="11"/>
      <c r="I303" s="12"/>
      <c r="J303" s="1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x14ac:dyDescent="0.45">
      <c r="A304" s="24"/>
      <c r="B304" s="2"/>
      <c r="C304" s="10"/>
      <c r="D304" s="4"/>
      <c r="E304" s="5"/>
      <c r="F304" s="6"/>
      <c r="G304" s="7"/>
      <c r="H304" s="11"/>
      <c r="I304" s="12"/>
      <c r="J304" s="1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x14ac:dyDescent="0.45">
      <c r="A305" s="24"/>
      <c r="B305" s="2"/>
      <c r="C305" s="10"/>
      <c r="D305" s="4"/>
      <c r="E305" s="5"/>
      <c r="F305" s="6"/>
      <c r="G305" s="7"/>
      <c r="H305" s="11"/>
      <c r="I305" s="12"/>
      <c r="J305" s="1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x14ac:dyDescent="0.45">
      <c r="A306" s="24"/>
      <c r="B306" s="2"/>
      <c r="C306" s="10"/>
      <c r="D306" s="4"/>
      <c r="E306" s="5"/>
      <c r="F306" s="6"/>
      <c r="G306" s="7"/>
      <c r="H306" s="11"/>
      <c r="I306" s="12"/>
      <c r="J306" s="1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x14ac:dyDescent="0.45">
      <c r="A307" s="24"/>
      <c r="B307" s="2"/>
      <c r="C307" s="10"/>
      <c r="D307" s="4"/>
      <c r="E307" s="5"/>
      <c r="F307" s="6"/>
      <c r="G307" s="7"/>
      <c r="H307" s="11"/>
      <c r="I307" s="12"/>
      <c r="J307" s="1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x14ac:dyDescent="0.45">
      <c r="A308" s="24"/>
      <c r="B308" s="2"/>
      <c r="C308" s="10"/>
      <c r="D308" s="4"/>
      <c r="E308" s="5"/>
      <c r="F308" s="6"/>
      <c r="G308" s="7"/>
      <c r="H308" s="11"/>
      <c r="I308" s="12"/>
      <c r="J308" s="1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x14ac:dyDescent="0.45">
      <c r="A309" s="24"/>
      <c r="B309" s="2"/>
      <c r="C309" s="10"/>
      <c r="D309" s="4"/>
      <c r="E309" s="5"/>
      <c r="F309" s="6"/>
      <c r="G309" s="7"/>
      <c r="H309" s="11"/>
      <c r="I309" s="12"/>
      <c r="J309" s="1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x14ac:dyDescent="0.45">
      <c r="A310" s="24"/>
      <c r="B310" s="2"/>
      <c r="C310" s="10"/>
      <c r="D310" s="4"/>
      <c r="E310" s="5"/>
      <c r="F310" s="6"/>
      <c r="G310" s="7"/>
      <c r="H310" s="11"/>
      <c r="I310" s="12"/>
      <c r="J310" s="1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x14ac:dyDescent="0.45">
      <c r="A311" s="24"/>
      <c r="B311" s="2"/>
      <c r="C311" s="10"/>
      <c r="D311" s="4"/>
      <c r="E311" s="5"/>
      <c r="F311" s="6"/>
      <c r="G311" s="7"/>
      <c r="H311" s="11"/>
      <c r="I311" s="12"/>
      <c r="J311" s="1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x14ac:dyDescent="0.45">
      <c r="A312" s="24"/>
      <c r="B312" s="2"/>
      <c r="C312" s="10"/>
      <c r="D312" s="4"/>
      <c r="E312" s="5"/>
      <c r="F312" s="6"/>
      <c r="G312" s="7"/>
      <c r="H312" s="11"/>
      <c r="I312" s="12"/>
      <c r="J312" s="1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x14ac:dyDescent="0.45">
      <c r="A313" s="24"/>
      <c r="B313" s="2"/>
      <c r="C313" s="10"/>
      <c r="D313" s="4"/>
      <c r="E313" s="5"/>
      <c r="F313" s="6"/>
      <c r="G313" s="7"/>
      <c r="H313" s="11"/>
      <c r="I313" s="12"/>
      <c r="J313" s="1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x14ac:dyDescent="0.45">
      <c r="A314" s="24"/>
      <c r="B314" s="2"/>
      <c r="C314" s="10"/>
      <c r="D314" s="4"/>
      <c r="E314" s="5"/>
      <c r="F314" s="6"/>
      <c r="G314" s="7"/>
      <c r="H314" s="11"/>
      <c r="I314" s="12"/>
      <c r="J314" s="1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x14ac:dyDescent="0.45">
      <c r="A315" s="24"/>
      <c r="B315" s="2"/>
      <c r="C315" s="10"/>
      <c r="D315" s="4"/>
      <c r="E315" s="5"/>
      <c r="F315" s="6"/>
      <c r="G315" s="7"/>
      <c r="H315" s="11"/>
      <c r="I315" s="12"/>
      <c r="J315" s="1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x14ac:dyDescent="0.45">
      <c r="A316" s="24"/>
      <c r="B316" s="2"/>
      <c r="C316" s="10"/>
      <c r="D316" s="4"/>
      <c r="E316" s="5"/>
      <c r="F316" s="6"/>
      <c r="G316" s="7"/>
      <c r="H316" s="11"/>
      <c r="I316" s="12"/>
      <c r="J316" s="1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x14ac:dyDescent="0.45">
      <c r="A317" s="24"/>
      <c r="B317" s="2"/>
      <c r="C317" s="10"/>
      <c r="D317" s="4"/>
      <c r="E317" s="5"/>
      <c r="F317" s="6"/>
      <c r="G317" s="7"/>
      <c r="H317" s="11"/>
      <c r="I317" s="12"/>
      <c r="J317" s="1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x14ac:dyDescent="0.45">
      <c r="A318" s="24"/>
      <c r="B318" s="2"/>
      <c r="C318" s="10"/>
      <c r="D318" s="4"/>
      <c r="E318" s="5"/>
      <c r="F318" s="6"/>
      <c r="G318" s="7"/>
      <c r="H318" s="11"/>
      <c r="I318" s="12"/>
      <c r="J318" s="1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x14ac:dyDescent="0.45">
      <c r="A319" s="24"/>
      <c r="B319" s="2"/>
      <c r="C319" s="10"/>
      <c r="D319" s="4"/>
      <c r="E319" s="5"/>
      <c r="F319" s="6"/>
      <c r="G319" s="7"/>
      <c r="H319" s="11"/>
      <c r="I319" s="12"/>
      <c r="J319" s="1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x14ac:dyDescent="0.45">
      <c r="A320" s="24"/>
      <c r="B320" s="2"/>
      <c r="C320" s="10"/>
      <c r="D320" s="4"/>
      <c r="E320" s="5"/>
      <c r="F320" s="6"/>
      <c r="G320" s="7"/>
      <c r="H320" s="11"/>
      <c r="I320" s="12"/>
      <c r="J320" s="1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x14ac:dyDescent="0.45">
      <c r="A321" s="24"/>
      <c r="B321" s="2"/>
      <c r="C321" s="10"/>
      <c r="D321" s="4"/>
      <c r="E321" s="5"/>
      <c r="F321" s="6"/>
      <c r="G321" s="7"/>
      <c r="H321" s="11"/>
      <c r="I321" s="12"/>
      <c r="J321" s="1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x14ac:dyDescent="0.45">
      <c r="A322" s="24"/>
      <c r="B322" s="2"/>
      <c r="C322" s="10"/>
      <c r="D322" s="4"/>
      <c r="E322" s="5"/>
      <c r="F322" s="6"/>
      <c r="G322" s="7"/>
      <c r="H322" s="11"/>
      <c r="I322" s="12"/>
      <c r="J322" s="1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x14ac:dyDescent="0.45">
      <c r="A323" s="24"/>
      <c r="B323" s="2"/>
      <c r="C323" s="10"/>
      <c r="D323" s="4"/>
      <c r="E323" s="5"/>
      <c r="F323" s="6"/>
      <c r="G323" s="7"/>
      <c r="H323" s="11"/>
      <c r="I323" s="12"/>
      <c r="J323" s="1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x14ac:dyDescent="0.45">
      <c r="A324" s="24"/>
      <c r="B324" s="2"/>
      <c r="C324" s="10"/>
      <c r="D324" s="4"/>
      <c r="E324" s="5"/>
      <c r="F324" s="6"/>
      <c r="G324" s="7"/>
      <c r="H324" s="11"/>
      <c r="I324" s="12"/>
      <c r="J324" s="1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x14ac:dyDescent="0.45">
      <c r="A325" s="24"/>
      <c r="B325" s="2"/>
      <c r="C325" s="10"/>
      <c r="D325" s="4"/>
      <c r="E325" s="5"/>
      <c r="F325" s="6"/>
      <c r="G325" s="7"/>
      <c r="H325" s="11"/>
      <c r="I325" s="12"/>
      <c r="J325" s="1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x14ac:dyDescent="0.45">
      <c r="A326" s="24"/>
      <c r="B326" s="2"/>
      <c r="C326" s="10"/>
      <c r="D326" s="4"/>
      <c r="E326" s="5"/>
      <c r="F326" s="6"/>
      <c r="G326" s="7"/>
      <c r="H326" s="11"/>
      <c r="I326" s="12"/>
      <c r="J326" s="1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x14ac:dyDescent="0.45">
      <c r="A327" s="24"/>
      <c r="B327" s="2"/>
      <c r="C327" s="10"/>
      <c r="D327" s="4"/>
      <c r="E327" s="5"/>
      <c r="F327" s="6"/>
      <c r="G327" s="7"/>
      <c r="H327" s="11"/>
      <c r="I327" s="12"/>
      <c r="J327" s="1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x14ac:dyDescent="0.45">
      <c r="A328" s="24"/>
      <c r="B328" s="2"/>
      <c r="C328" s="10"/>
      <c r="D328" s="4"/>
      <c r="E328" s="5"/>
      <c r="F328" s="6"/>
      <c r="G328" s="7"/>
      <c r="H328" s="11"/>
      <c r="I328" s="12"/>
      <c r="J328" s="1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x14ac:dyDescent="0.45">
      <c r="A329" s="24"/>
      <c r="B329" s="2"/>
      <c r="C329" s="10"/>
      <c r="D329" s="4"/>
      <c r="E329" s="5"/>
      <c r="F329" s="6"/>
      <c r="G329" s="7"/>
      <c r="H329" s="11"/>
      <c r="I329" s="12"/>
      <c r="J329" s="1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x14ac:dyDescent="0.45">
      <c r="A330" s="24"/>
      <c r="B330" s="2"/>
      <c r="C330" s="10"/>
      <c r="D330" s="4"/>
      <c r="E330" s="5"/>
      <c r="F330" s="6"/>
      <c r="G330" s="7"/>
      <c r="H330" s="11"/>
      <c r="I330" s="12"/>
      <c r="J330" s="1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x14ac:dyDescent="0.45">
      <c r="A331" s="24"/>
      <c r="B331" s="2"/>
      <c r="C331" s="10"/>
      <c r="D331" s="4"/>
      <c r="E331" s="5"/>
      <c r="F331" s="6"/>
      <c r="G331" s="7"/>
      <c r="H331" s="11"/>
      <c r="I331" s="12"/>
      <c r="J331" s="1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x14ac:dyDescent="0.45">
      <c r="A332" s="24"/>
      <c r="B332" s="2"/>
      <c r="C332" s="10"/>
      <c r="D332" s="4"/>
      <c r="E332" s="5"/>
      <c r="F332" s="6"/>
      <c r="G332" s="7"/>
      <c r="H332" s="11"/>
      <c r="I332" s="12"/>
      <c r="J332" s="1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x14ac:dyDescent="0.45">
      <c r="A333" s="24"/>
      <c r="B333" s="2"/>
      <c r="C333" s="10"/>
      <c r="D333" s="4"/>
      <c r="E333" s="5"/>
      <c r="F333" s="6"/>
      <c r="G333" s="7"/>
      <c r="H333" s="11"/>
      <c r="I333" s="12"/>
      <c r="J333" s="1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x14ac:dyDescent="0.45">
      <c r="A334" s="24"/>
      <c r="B334" s="2"/>
      <c r="C334" s="10"/>
      <c r="D334" s="4"/>
      <c r="E334" s="5"/>
      <c r="F334" s="6"/>
      <c r="G334" s="7"/>
      <c r="H334" s="11"/>
      <c r="I334" s="12"/>
      <c r="J334" s="1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x14ac:dyDescent="0.45">
      <c r="A335" s="24"/>
      <c r="B335" s="2"/>
      <c r="C335" s="10"/>
      <c r="D335" s="4"/>
      <c r="E335" s="5"/>
      <c r="F335" s="6"/>
      <c r="G335" s="7"/>
      <c r="H335" s="11"/>
      <c r="I335" s="12"/>
      <c r="J335" s="1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x14ac:dyDescent="0.45">
      <c r="A336" s="24"/>
      <c r="B336" s="2"/>
      <c r="C336" s="10"/>
      <c r="D336" s="4"/>
      <c r="E336" s="5"/>
      <c r="F336" s="6"/>
      <c r="G336" s="7"/>
      <c r="H336" s="11"/>
      <c r="I336" s="12"/>
      <c r="J336" s="1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x14ac:dyDescent="0.45">
      <c r="A337" s="24"/>
      <c r="B337" s="2"/>
      <c r="C337" s="10"/>
      <c r="D337" s="4"/>
      <c r="E337" s="5"/>
      <c r="F337" s="6"/>
      <c r="G337" s="7"/>
      <c r="H337" s="11"/>
      <c r="I337" s="12"/>
      <c r="J337" s="1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x14ac:dyDescent="0.45">
      <c r="A338" s="24"/>
      <c r="B338" s="2"/>
      <c r="C338" s="10"/>
      <c r="D338" s="4"/>
      <c r="E338" s="5"/>
      <c r="F338" s="6"/>
      <c r="G338" s="7"/>
      <c r="H338" s="11"/>
      <c r="I338" s="12"/>
      <c r="J338" s="1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x14ac:dyDescent="0.45">
      <c r="A339" s="24"/>
      <c r="B339" s="2"/>
      <c r="C339" s="10"/>
      <c r="D339" s="4"/>
      <c r="E339" s="5"/>
      <c r="F339" s="6"/>
      <c r="G339" s="7"/>
      <c r="H339" s="11"/>
      <c r="I339" s="12"/>
      <c r="J339" s="1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x14ac:dyDescent="0.45">
      <c r="A340" s="24"/>
      <c r="B340" s="2"/>
      <c r="C340" s="10"/>
      <c r="D340" s="4"/>
      <c r="E340" s="5"/>
      <c r="F340" s="6"/>
      <c r="G340" s="7"/>
      <c r="H340" s="11"/>
      <c r="I340" s="12"/>
      <c r="J340" s="1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x14ac:dyDescent="0.45">
      <c r="A341" s="24"/>
      <c r="B341" s="2"/>
      <c r="C341" s="10"/>
      <c r="D341" s="4"/>
      <c r="E341" s="5"/>
      <c r="F341" s="6"/>
      <c r="G341" s="7"/>
      <c r="H341" s="11"/>
      <c r="I341" s="12"/>
      <c r="J341" s="1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x14ac:dyDescent="0.45">
      <c r="A342" s="24"/>
      <c r="B342" s="2"/>
      <c r="C342" s="10"/>
      <c r="D342" s="4"/>
      <c r="E342" s="5"/>
      <c r="F342" s="6"/>
      <c r="G342" s="7"/>
      <c r="H342" s="11"/>
      <c r="I342" s="12"/>
      <c r="J342" s="1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x14ac:dyDescent="0.45">
      <c r="A343" s="24"/>
      <c r="B343" s="2"/>
      <c r="C343" s="10"/>
      <c r="D343" s="4"/>
      <c r="E343" s="5"/>
      <c r="F343" s="6"/>
      <c r="G343" s="7"/>
      <c r="H343" s="11"/>
      <c r="I343" s="12"/>
      <c r="J343" s="1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x14ac:dyDescent="0.45">
      <c r="A344" s="24"/>
      <c r="B344" s="2"/>
      <c r="C344" s="10"/>
      <c r="D344" s="4"/>
      <c r="E344" s="5"/>
      <c r="F344" s="6"/>
      <c r="G344" s="7"/>
      <c r="H344" s="11"/>
      <c r="I344" s="12"/>
      <c r="J344" s="1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x14ac:dyDescent="0.45">
      <c r="A345" s="24"/>
      <c r="B345" s="2"/>
      <c r="C345" s="10"/>
      <c r="D345" s="4"/>
      <c r="E345" s="5"/>
      <c r="F345" s="6"/>
      <c r="G345" s="7"/>
      <c r="H345" s="11"/>
      <c r="I345" s="12"/>
      <c r="J345" s="1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x14ac:dyDescent="0.45">
      <c r="A346" s="24"/>
      <c r="B346" s="2"/>
      <c r="C346" s="10"/>
      <c r="D346" s="4"/>
      <c r="E346" s="5"/>
      <c r="F346" s="6"/>
      <c r="G346" s="7"/>
      <c r="H346" s="11"/>
      <c r="I346" s="12"/>
      <c r="J346" s="1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x14ac:dyDescent="0.45">
      <c r="A347" s="24"/>
      <c r="B347" s="2"/>
      <c r="C347" s="10"/>
      <c r="D347" s="4"/>
      <c r="E347" s="5"/>
      <c r="F347" s="6"/>
      <c r="G347" s="7"/>
      <c r="H347" s="11"/>
      <c r="I347" s="12"/>
      <c r="J347" s="1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x14ac:dyDescent="0.45">
      <c r="A348" s="24"/>
      <c r="B348" s="2"/>
      <c r="C348" s="10"/>
      <c r="D348" s="4"/>
      <c r="E348" s="5"/>
      <c r="F348" s="6"/>
      <c r="G348" s="7"/>
      <c r="H348" s="11"/>
      <c r="I348" s="12"/>
      <c r="J348" s="1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x14ac:dyDescent="0.45">
      <c r="A349" s="24"/>
      <c r="B349" s="2"/>
      <c r="C349" s="10"/>
      <c r="D349" s="4"/>
      <c r="E349" s="5"/>
      <c r="F349" s="6"/>
      <c r="G349" s="7"/>
      <c r="H349" s="11"/>
      <c r="I349" s="12"/>
      <c r="J349" s="1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x14ac:dyDescent="0.45">
      <c r="A350" s="24"/>
      <c r="B350" s="2"/>
      <c r="C350" s="10"/>
      <c r="D350" s="4"/>
      <c r="E350" s="5"/>
      <c r="F350" s="6"/>
      <c r="G350" s="7"/>
      <c r="H350" s="11"/>
      <c r="I350" s="12"/>
      <c r="J350" s="1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x14ac:dyDescent="0.45">
      <c r="A351" s="24"/>
      <c r="B351" s="2"/>
      <c r="C351" s="10"/>
      <c r="D351" s="4"/>
      <c r="E351" s="5"/>
      <c r="F351" s="6"/>
      <c r="G351" s="7"/>
      <c r="H351" s="11"/>
      <c r="I351" s="12"/>
      <c r="J351" s="1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x14ac:dyDescent="0.45">
      <c r="A352" s="24"/>
      <c r="B352" s="2"/>
      <c r="C352" s="10"/>
      <c r="D352" s="4"/>
      <c r="E352" s="5"/>
      <c r="F352" s="6"/>
      <c r="G352" s="7"/>
      <c r="H352" s="11"/>
      <c r="I352" s="12"/>
      <c r="J352" s="1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x14ac:dyDescent="0.45">
      <c r="A353" s="24"/>
      <c r="B353" s="2"/>
      <c r="C353" s="10"/>
      <c r="D353" s="4"/>
      <c r="E353" s="5"/>
      <c r="F353" s="6"/>
      <c r="G353" s="7"/>
      <c r="H353" s="11"/>
      <c r="I353" s="12"/>
      <c r="J353" s="1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x14ac:dyDescent="0.45">
      <c r="A354" s="24"/>
      <c r="B354" s="2"/>
      <c r="C354" s="10"/>
      <c r="D354" s="4"/>
      <c r="E354" s="5"/>
      <c r="F354" s="6"/>
      <c r="G354" s="7"/>
      <c r="H354" s="11"/>
      <c r="I354" s="12"/>
      <c r="J354" s="1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x14ac:dyDescent="0.45">
      <c r="A355" s="24"/>
      <c r="B355" s="2"/>
      <c r="C355" s="10"/>
      <c r="D355" s="4"/>
      <c r="E355" s="5"/>
      <c r="F355" s="6"/>
      <c r="G355" s="7"/>
      <c r="H355" s="11"/>
      <c r="I355" s="12"/>
      <c r="J355" s="1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x14ac:dyDescent="0.45">
      <c r="A356" s="24"/>
      <c r="B356" s="2"/>
      <c r="C356" s="10"/>
      <c r="D356" s="4"/>
      <c r="E356" s="5"/>
      <c r="F356" s="6"/>
      <c r="G356" s="7"/>
      <c r="H356" s="11"/>
      <c r="I356" s="12"/>
      <c r="J356" s="1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x14ac:dyDescent="0.45">
      <c r="A357" s="24"/>
      <c r="B357" s="2"/>
      <c r="C357" s="10"/>
      <c r="D357" s="4"/>
      <c r="E357" s="5"/>
      <c r="F357" s="6"/>
      <c r="G357" s="7"/>
      <c r="H357" s="11"/>
      <c r="I357" s="12"/>
      <c r="J357" s="1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x14ac:dyDescent="0.45">
      <c r="A358" s="24"/>
      <c r="B358" s="2"/>
      <c r="C358" s="10"/>
      <c r="D358" s="4"/>
      <c r="E358" s="5"/>
      <c r="F358" s="6"/>
      <c r="G358" s="7"/>
      <c r="H358" s="11"/>
      <c r="I358" s="12"/>
      <c r="J358" s="1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x14ac:dyDescent="0.45">
      <c r="A359" s="24"/>
      <c r="B359" s="2"/>
      <c r="C359" s="10"/>
      <c r="D359" s="4"/>
      <c r="E359" s="5"/>
      <c r="F359" s="6"/>
      <c r="G359" s="7"/>
      <c r="H359" s="11"/>
      <c r="I359" s="12"/>
      <c r="J359" s="1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x14ac:dyDescent="0.45">
      <c r="A360" s="24"/>
      <c r="B360" s="2"/>
      <c r="C360" s="10"/>
      <c r="D360" s="4"/>
      <c r="E360" s="5"/>
      <c r="F360" s="6"/>
      <c r="G360" s="7"/>
      <c r="H360" s="11"/>
      <c r="I360" s="12"/>
      <c r="J360" s="1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x14ac:dyDescent="0.45">
      <c r="A361" s="24"/>
      <c r="B361" s="2"/>
      <c r="C361" s="10"/>
      <c r="D361" s="4"/>
      <c r="E361" s="5"/>
      <c r="F361" s="6"/>
      <c r="G361" s="7"/>
      <c r="H361" s="11"/>
      <c r="I361" s="12"/>
      <c r="J361" s="1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x14ac:dyDescent="0.45">
      <c r="A362" s="24"/>
      <c r="B362" s="2"/>
      <c r="C362" s="10"/>
      <c r="D362" s="4"/>
      <c r="E362" s="5"/>
      <c r="F362" s="6"/>
      <c r="G362" s="7"/>
      <c r="H362" s="11"/>
      <c r="I362" s="12"/>
      <c r="J362" s="1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x14ac:dyDescent="0.45">
      <c r="A363" s="24"/>
      <c r="B363" s="2"/>
      <c r="C363" s="10"/>
      <c r="D363" s="4"/>
      <c r="E363" s="5"/>
      <c r="F363" s="6"/>
      <c r="G363" s="7"/>
      <c r="H363" s="11"/>
      <c r="I363" s="12"/>
      <c r="J363" s="1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x14ac:dyDescent="0.45">
      <c r="A364" s="24"/>
      <c r="B364" s="2"/>
      <c r="C364" s="10"/>
      <c r="D364" s="4"/>
      <c r="E364" s="5"/>
      <c r="F364" s="6"/>
      <c r="G364" s="7"/>
      <c r="H364" s="11"/>
      <c r="I364" s="12"/>
      <c r="J364" s="1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x14ac:dyDescent="0.45">
      <c r="A365" s="24"/>
      <c r="B365" s="2"/>
      <c r="C365" s="10"/>
      <c r="D365" s="4"/>
      <c r="E365" s="5"/>
      <c r="F365" s="6"/>
      <c r="G365" s="7"/>
      <c r="H365" s="11"/>
      <c r="I365" s="12"/>
      <c r="J365" s="1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x14ac:dyDescent="0.45">
      <c r="A366" s="24"/>
      <c r="B366" s="2"/>
      <c r="C366" s="10"/>
      <c r="D366" s="4"/>
      <c r="E366" s="5"/>
      <c r="F366" s="6"/>
      <c r="G366" s="7"/>
      <c r="H366" s="11"/>
      <c r="I366" s="12"/>
      <c r="J366" s="1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x14ac:dyDescent="0.45">
      <c r="A367" s="24"/>
      <c r="B367" s="2"/>
      <c r="C367" s="10"/>
      <c r="D367" s="4"/>
      <c r="E367" s="5"/>
      <c r="F367" s="6"/>
      <c r="G367" s="7"/>
      <c r="H367" s="11"/>
      <c r="I367" s="12"/>
      <c r="J367" s="1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x14ac:dyDescent="0.45">
      <c r="A368" s="24"/>
      <c r="B368" s="2"/>
      <c r="C368" s="10"/>
      <c r="D368" s="4"/>
      <c r="E368" s="5"/>
      <c r="F368" s="6"/>
      <c r="G368" s="7"/>
      <c r="H368" s="11"/>
      <c r="I368" s="12"/>
      <c r="J368" s="1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x14ac:dyDescent="0.45">
      <c r="A369" s="24"/>
      <c r="B369" s="2"/>
      <c r="C369" s="10"/>
      <c r="D369" s="4"/>
      <c r="E369" s="5"/>
      <c r="F369" s="6"/>
      <c r="G369" s="7"/>
      <c r="H369" s="11"/>
      <c r="I369" s="12"/>
      <c r="J369" s="1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x14ac:dyDescent="0.45">
      <c r="A370" s="24"/>
      <c r="B370" s="2"/>
      <c r="C370" s="10"/>
      <c r="D370" s="4"/>
      <c r="E370" s="5"/>
      <c r="F370" s="6"/>
      <c r="G370" s="7"/>
      <c r="H370" s="11"/>
      <c r="I370" s="12"/>
      <c r="J370" s="1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x14ac:dyDescent="0.45">
      <c r="A371" s="24"/>
      <c r="B371" s="2"/>
      <c r="C371" s="10"/>
      <c r="D371" s="4"/>
      <c r="E371" s="5"/>
      <c r="F371" s="6"/>
      <c r="G371" s="7"/>
      <c r="H371" s="11"/>
      <c r="I371" s="12"/>
      <c r="J371" s="1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x14ac:dyDescent="0.45">
      <c r="A372" s="24"/>
      <c r="B372" s="2"/>
      <c r="C372" s="10"/>
      <c r="D372" s="4"/>
      <c r="E372" s="5"/>
      <c r="F372" s="6"/>
      <c r="G372" s="7"/>
      <c r="H372" s="11"/>
      <c r="I372" s="12"/>
      <c r="J372" s="1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x14ac:dyDescent="0.45">
      <c r="A373" s="24"/>
      <c r="B373" s="2"/>
      <c r="C373" s="10"/>
      <c r="D373" s="4"/>
      <c r="E373" s="5"/>
      <c r="F373" s="6"/>
      <c r="G373" s="7"/>
      <c r="H373" s="11"/>
      <c r="I373" s="12"/>
      <c r="J373" s="1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x14ac:dyDescent="0.45">
      <c r="A374" s="24"/>
      <c r="B374" s="2"/>
      <c r="C374" s="10"/>
      <c r="D374" s="4"/>
      <c r="E374" s="5"/>
      <c r="F374" s="6"/>
      <c r="G374" s="7"/>
      <c r="H374" s="11"/>
      <c r="I374" s="12"/>
      <c r="J374" s="1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x14ac:dyDescent="0.45">
      <c r="A375" s="24"/>
      <c r="B375" s="2"/>
      <c r="C375" s="10"/>
      <c r="D375" s="4"/>
      <c r="E375" s="5"/>
      <c r="F375" s="6"/>
      <c r="G375" s="7"/>
      <c r="H375" s="11"/>
      <c r="I375" s="12"/>
      <c r="J375" s="1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x14ac:dyDescent="0.45">
      <c r="A376" s="24"/>
      <c r="B376" s="2"/>
      <c r="C376" s="10"/>
      <c r="D376" s="4"/>
      <c r="E376" s="5"/>
      <c r="F376" s="6"/>
      <c r="G376" s="7"/>
      <c r="H376" s="11"/>
      <c r="I376" s="12"/>
      <c r="J376" s="1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x14ac:dyDescent="0.45">
      <c r="A377" s="24"/>
      <c r="B377" s="2"/>
      <c r="C377" s="10"/>
      <c r="D377" s="4"/>
      <c r="E377" s="5"/>
      <c r="F377" s="6"/>
      <c r="G377" s="7"/>
      <c r="H377" s="11"/>
      <c r="I377" s="12"/>
      <c r="J377" s="1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x14ac:dyDescent="0.45">
      <c r="A378" s="24"/>
      <c r="B378" s="2"/>
      <c r="C378" s="10"/>
      <c r="D378" s="4"/>
      <c r="E378" s="5"/>
      <c r="F378" s="6"/>
      <c r="G378" s="7"/>
      <c r="H378" s="11"/>
      <c r="I378" s="12"/>
      <c r="J378" s="1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x14ac:dyDescent="0.45">
      <c r="A379" s="24"/>
      <c r="B379" s="2"/>
      <c r="C379" s="10"/>
      <c r="D379" s="4"/>
      <c r="E379" s="5"/>
      <c r="F379" s="6"/>
      <c r="G379" s="7"/>
      <c r="H379" s="11"/>
      <c r="I379" s="12"/>
      <c r="J379" s="1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x14ac:dyDescent="0.45">
      <c r="A380" s="24"/>
      <c r="B380" s="2"/>
      <c r="C380" s="10"/>
      <c r="D380" s="4"/>
      <c r="E380" s="5"/>
      <c r="F380" s="6"/>
      <c r="G380" s="7"/>
      <c r="H380" s="11"/>
      <c r="I380" s="12"/>
      <c r="J380" s="1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x14ac:dyDescent="0.45">
      <c r="A381" s="24"/>
      <c r="B381" s="2"/>
      <c r="C381" s="10"/>
      <c r="D381" s="4"/>
      <c r="E381" s="5"/>
      <c r="F381" s="6"/>
      <c r="G381" s="7"/>
      <c r="H381" s="11"/>
      <c r="I381" s="12"/>
      <c r="J381" s="1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x14ac:dyDescent="0.45">
      <c r="A382" s="24"/>
      <c r="B382" s="2"/>
      <c r="C382" s="10"/>
      <c r="D382" s="4"/>
      <c r="E382" s="5"/>
      <c r="F382" s="6"/>
      <c r="G382" s="7"/>
      <c r="H382" s="11"/>
      <c r="I382" s="12"/>
      <c r="J382" s="1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x14ac:dyDescent="0.45">
      <c r="A383" s="24"/>
      <c r="B383" s="2"/>
      <c r="C383" s="10"/>
      <c r="D383" s="4"/>
      <c r="E383" s="5"/>
      <c r="F383" s="6"/>
      <c r="G383" s="7"/>
      <c r="H383" s="11"/>
      <c r="I383" s="12"/>
      <c r="J383" s="1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x14ac:dyDescent="0.45">
      <c r="A384" s="24"/>
      <c r="B384" s="2"/>
      <c r="C384" s="10"/>
      <c r="D384" s="4"/>
      <c r="E384" s="5"/>
      <c r="F384" s="6"/>
      <c r="G384" s="7"/>
      <c r="H384" s="11"/>
      <c r="I384" s="12"/>
      <c r="J384" s="1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x14ac:dyDescent="0.45">
      <c r="A385" s="24"/>
      <c r="B385" s="2"/>
      <c r="C385" s="10"/>
      <c r="D385" s="4"/>
      <c r="E385" s="5"/>
      <c r="F385" s="6"/>
      <c r="G385" s="7"/>
      <c r="H385" s="11"/>
      <c r="I385" s="12"/>
      <c r="J385" s="1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x14ac:dyDescent="0.45">
      <c r="A386" s="24"/>
      <c r="B386" s="2"/>
      <c r="C386" s="10"/>
      <c r="D386" s="4"/>
      <c r="E386" s="5"/>
      <c r="F386" s="6"/>
      <c r="G386" s="7"/>
      <c r="H386" s="11"/>
      <c r="I386" s="12"/>
      <c r="J386" s="1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x14ac:dyDescent="0.45">
      <c r="A387" s="24"/>
      <c r="B387" s="2"/>
      <c r="C387" s="10"/>
      <c r="D387" s="4"/>
      <c r="E387" s="5"/>
      <c r="F387" s="6"/>
      <c r="G387" s="7"/>
      <c r="H387" s="11"/>
      <c r="I387" s="12"/>
      <c r="J387" s="1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x14ac:dyDescent="0.45">
      <c r="A388" s="24"/>
      <c r="B388" s="2"/>
      <c r="C388" s="10"/>
      <c r="D388" s="4"/>
      <c r="E388" s="5"/>
      <c r="F388" s="6"/>
      <c r="G388" s="7"/>
      <c r="H388" s="11"/>
      <c r="I388" s="12"/>
      <c r="J388" s="1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x14ac:dyDescent="0.45">
      <c r="A389" s="24"/>
      <c r="B389" s="2"/>
      <c r="C389" s="10"/>
      <c r="D389" s="4"/>
      <c r="E389" s="5"/>
      <c r="F389" s="6"/>
      <c r="G389" s="7"/>
      <c r="H389" s="11"/>
      <c r="I389" s="12"/>
      <c r="J389" s="1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x14ac:dyDescent="0.45">
      <c r="A390" s="24"/>
      <c r="B390" s="2"/>
      <c r="C390" s="10"/>
      <c r="D390" s="4"/>
      <c r="E390" s="5"/>
      <c r="F390" s="6"/>
      <c r="G390" s="7"/>
      <c r="H390" s="11"/>
      <c r="I390" s="12"/>
      <c r="J390" s="1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x14ac:dyDescent="0.45">
      <c r="A391" s="24"/>
      <c r="B391" s="2"/>
      <c r="C391" s="10"/>
      <c r="D391" s="4"/>
      <c r="E391" s="5"/>
      <c r="F391" s="6"/>
      <c r="G391" s="7"/>
      <c r="H391" s="11"/>
      <c r="I391" s="12"/>
      <c r="J391" s="1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x14ac:dyDescent="0.45">
      <c r="A392" s="24"/>
      <c r="B392" s="2"/>
      <c r="C392" s="10"/>
      <c r="D392" s="4"/>
      <c r="E392" s="5"/>
      <c r="F392" s="6"/>
      <c r="G392" s="7"/>
      <c r="H392" s="11"/>
      <c r="I392" s="12"/>
      <c r="J392" s="1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x14ac:dyDescent="0.45">
      <c r="A393" s="24"/>
      <c r="B393" s="2"/>
      <c r="C393" s="10"/>
      <c r="D393" s="4"/>
      <c r="E393" s="5"/>
      <c r="F393" s="6"/>
      <c r="G393" s="7"/>
      <c r="H393" s="11"/>
      <c r="I393" s="12"/>
      <c r="J393" s="1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x14ac:dyDescent="0.45">
      <c r="A394" s="24"/>
      <c r="B394" s="2"/>
      <c r="C394" s="10"/>
      <c r="D394" s="4"/>
      <c r="E394" s="5"/>
      <c r="F394" s="6"/>
      <c r="G394" s="7"/>
      <c r="H394" s="11"/>
      <c r="I394" s="12"/>
      <c r="J394" s="1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x14ac:dyDescent="0.45">
      <c r="A395" s="24"/>
      <c r="B395" s="2"/>
      <c r="C395" s="10"/>
      <c r="D395" s="4"/>
      <c r="E395" s="5"/>
      <c r="F395" s="6"/>
      <c r="G395" s="7"/>
      <c r="H395" s="11"/>
      <c r="I395" s="12"/>
      <c r="J395" s="1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x14ac:dyDescent="0.45">
      <c r="A396" s="24"/>
      <c r="B396" s="2"/>
      <c r="C396" s="10"/>
      <c r="D396" s="4"/>
      <c r="E396" s="5"/>
      <c r="F396" s="6"/>
      <c r="G396" s="7"/>
      <c r="H396" s="11"/>
      <c r="I396" s="12"/>
      <c r="J396" s="1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x14ac:dyDescent="0.45">
      <c r="A397" s="24"/>
      <c r="B397" s="2"/>
      <c r="C397" s="10"/>
      <c r="D397" s="4"/>
      <c r="E397" s="5"/>
      <c r="F397" s="6"/>
      <c r="G397" s="7"/>
      <c r="H397" s="11"/>
      <c r="I397" s="12"/>
      <c r="J397" s="1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x14ac:dyDescent="0.45">
      <c r="A398" s="24"/>
      <c r="B398" s="2"/>
      <c r="C398" s="10"/>
      <c r="D398" s="4"/>
      <c r="E398" s="5"/>
      <c r="F398" s="6"/>
      <c r="G398" s="7"/>
      <c r="H398" s="11"/>
      <c r="I398" s="12"/>
      <c r="J398" s="1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x14ac:dyDescent="0.45">
      <c r="A399" s="24"/>
      <c r="B399" s="2"/>
      <c r="C399" s="10"/>
      <c r="D399" s="4"/>
      <c r="E399" s="5"/>
      <c r="F399" s="6"/>
      <c r="G399" s="7"/>
      <c r="H399" s="11"/>
      <c r="I399" s="12"/>
      <c r="J399" s="1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x14ac:dyDescent="0.45">
      <c r="A400" s="24"/>
      <c r="B400" s="2"/>
      <c r="C400" s="10"/>
      <c r="D400" s="4"/>
      <c r="E400" s="5"/>
      <c r="F400" s="6"/>
      <c r="G400" s="7"/>
      <c r="H400" s="11"/>
      <c r="I400" s="12"/>
      <c r="J400" s="1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x14ac:dyDescent="0.45">
      <c r="A401" s="24"/>
      <c r="B401" s="2"/>
      <c r="C401" s="10"/>
      <c r="D401" s="4"/>
      <c r="E401" s="5"/>
      <c r="F401" s="6"/>
      <c r="G401" s="7"/>
      <c r="H401" s="11"/>
      <c r="I401" s="12"/>
      <c r="J401" s="1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x14ac:dyDescent="0.45">
      <c r="A402" s="24"/>
      <c r="B402" s="2"/>
      <c r="C402" s="10"/>
      <c r="D402" s="4"/>
      <c r="E402" s="5"/>
      <c r="F402" s="6"/>
      <c r="G402" s="7"/>
      <c r="H402" s="11"/>
      <c r="I402" s="12"/>
      <c r="J402" s="1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x14ac:dyDescent="0.45">
      <c r="A403" s="24"/>
      <c r="B403" s="2"/>
      <c r="C403" s="10"/>
      <c r="D403" s="4"/>
      <c r="E403" s="5"/>
      <c r="F403" s="6"/>
      <c r="G403" s="7"/>
      <c r="H403" s="11"/>
      <c r="I403" s="12"/>
      <c r="J403" s="1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x14ac:dyDescent="0.45">
      <c r="A404" s="24"/>
      <c r="B404" s="2"/>
      <c r="C404" s="10"/>
      <c r="D404" s="4"/>
      <c r="E404" s="5"/>
      <c r="F404" s="6"/>
      <c r="G404" s="7"/>
      <c r="H404" s="11"/>
      <c r="I404" s="12"/>
      <c r="J404" s="1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x14ac:dyDescent="0.45">
      <c r="A405" s="24"/>
      <c r="B405" s="2"/>
      <c r="C405" s="10"/>
      <c r="D405" s="4"/>
      <c r="E405" s="5"/>
      <c r="F405" s="6"/>
      <c r="G405" s="7"/>
      <c r="H405" s="11"/>
      <c r="I405" s="12"/>
      <c r="J405" s="1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x14ac:dyDescent="0.45">
      <c r="A406" s="24"/>
      <c r="B406" s="2"/>
      <c r="C406" s="10"/>
      <c r="D406" s="4"/>
      <c r="E406" s="5"/>
      <c r="F406" s="6"/>
      <c r="G406" s="7"/>
      <c r="H406" s="11"/>
      <c r="I406" s="12"/>
      <c r="J406" s="1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x14ac:dyDescent="0.45">
      <c r="A407" s="24"/>
      <c r="B407" s="2"/>
      <c r="C407" s="10"/>
      <c r="D407" s="4"/>
      <c r="E407" s="5"/>
      <c r="F407" s="6"/>
      <c r="G407" s="7"/>
      <c r="H407" s="11"/>
      <c r="I407" s="12"/>
      <c r="J407" s="1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x14ac:dyDescent="0.45">
      <c r="A408" s="24"/>
      <c r="B408" s="2"/>
      <c r="C408" s="10"/>
      <c r="D408" s="4"/>
      <c r="E408" s="5"/>
      <c r="F408" s="6"/>
      <c r="G408" s="7"/>
      <c r="H408" s="11"/>
      <c r="I408" s="12"/>
      <c r="J408" s="1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x14ac:dyDescent="0.45">
      <c r="A409" s="24"/>
      <c r="B409" s="2"/>
      <c r="C409" s="10"/>
      <c r="D409" s="4"/>
      <c r="E409" s="5"/>
      <c r="F409" s="6"/>
      <c r="G409" s="7"/>
      <c r="H409" s="11"/>
      <c r="I409" s="12"/>
      <c r="J409" s="1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x14ac:dyDescent="0.45">
      <c r="A410" s="24"/>
      <c r="B410" s="2"/>
      <c r="C410" s="10"/>
      <c r="D410" s="4"/>
      <c r="E410" s="5"/>
      <c r="F410" s="6"/>
      <c r="G410" s="7"/>
      <c r="H410" s="11"/>
      <c r="I410" s="12"/>
      <c r="J410" s="1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x14ac:dyDescent="0.45">
      <c r="A411" s="24"/>
      <c r="B411" s="2"/>
      <c r="C411" s="10"/>
      <c r="D411" s="4"/>
      <c r="E411" s="5"/>
      <c r="F411" s="6"/>
      <c r="G411" s="7"/>
      <c r="H411" s="11"/>
      <c r="I411" s="12"/>
      <c r="J411" s="1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x14ac:dyDescent="0.45">
      <c r="A412" s="24"/>
      <c r="B412" s="2"/>
      <c r="C412" s="10"/>
      <c r="D412" s="4"/>
      <c r="E412" s="5"/>
      <c r="F412" s="6"/>
      <c r="G412" s="7"/>
      <c r="H412" s="11"/>
      <c r="I412" s="12"/>
      <c r="J412" s="1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x14ac:dyDescent="0.45">
      <c r="A413" s="24"/>
      <c r="B413" s="2"/>
      <c r="C413" s="10"/>
      <c r="D413" s="4"/>
      <c r="E413" s="5"/>
      <c r="F413" s="6"/>
      <c r="G413" s="7"/>
      <c r="H413" s="11"/>
      <c r="I413" s="12"/>
      <c r="J413" s="1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x14ac:dyDescent="0.45">
      <c r="A414" s="24"/>
      <c r="B414" s="2"/>
      <c r="C414" s="10"/>
      <c r="D414" s="4"/>
      <c r="E414" s="5"/>
      <c r="F414" s="6"/>
      <c r="G414" s="7"/>
      <c r="H414" s="11"/>
      <c r="I414" s="12"/>
      <c r="J414" s="1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x14ac:dyDescent="0.45">
      <c r="A415" s="24"/>
      <c r="B415" s="2"/>
      <c r="C415" s="10"/>
      <c r="D415" s="4"/>
      <c r="E415" s="5"/>
      <c r="F415" s="6"/>
      <c r="G415" s="7"/>
      <c r="H415" s="11"/>
      <c r="I415" s="12"/>
      <c r="J415" s="1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x14ac:dyDescent="0.45">
      <c r="A416" s="24"/>
      <c r="B416" s="2"/>
      <c r="C416" s="10"/>
      <c r="D416" s="4"/>
      <c r="E416" s="5"/>
      <c r="F416" s="6"/>
      <c r="G416" s="7"/>
      <c r="H416" s="11"/>
      <c r="I416" s="12"/>
      <c r="J416" s="1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x14ac:dyDescent="0.45">
      <c r="A417" s="24"/>
      <c r="B417" s="2"/>
      <c r="C417" s="10"/>
      <c r="D417" s="4"/>
      <c r="E417" s="5"/>
      <c r="F417" s="6"/>
      <c r="G417" s="7"/>
      <c r="H417" s="11"/>
      <c r="I417" s="12"/>
      <c r="J417" s="1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x14ac:dyDescent="0.45">
      <c r="A418" s="24"/>
      <c r="B418" s="2"/>
      <c r="C418" s="10"/>
      <c r="D418" s="4"/>
      <c r="E418" s="5"/>
      <c r="F418" s="6"/>
      <c r="G418" s="7"/>
      <c r="H418" s="11"/>
      <c r="I418" s="12"/>
      <c r="J418" s="1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x14ac:dyDescent="0.45">
      <c r="A419" s="24"/>
      <c r="B419" s="2"/>
      <c r="C419" s="10"/>
      <c r="D419" s="4"/>
      <c r="E419" s="5"/>
      <c r="F419" s="6"/>
      <c r="G419" s="7"/>
      <c r="H419" s="11"/>
      <c r="I419" s="12"/>
      <c r="J419" s="1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x14ac:dyDescent="0.45">
      <c r="A420" s="24"/>
      <c r="B420" s="2"/>
      <c r="C420" s="10"/>
      <c r="D420" s="4"/>
      <c r="E420" s="5"/>
      <c r="F420" s="6"/>
      <c r="G420" s="7"/>
      <c r="H420" s="11"/>
      <c r="I420" s="12"/>
      <c r="J420" s="1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x14ac:dyDescent="0.45">
      <c r="A421" s="24"/>
      <c r="B421" s="2"/>
      <c r="C421" s="10"/>
      <c r="D421" s="4"/>
      <c r="E421" s="5"/>
      <c r="F421" s="6"/>
      <c r="G421" s="7"/>
      <c r="H421" s="11"/>
      <c r="I421" s="12"/>
      <c r="J421" s="1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x14ac:dyDescent="0.45">
      <c r="A422" s="24"/>
      <c r="B422" s="2"/>
      <c r="C422" s="10"/>
      <c r="D422" s="4"/>
      <c r="E422" s="5"/>
      <c r="F422" s="6"/>
      <c r="G422" s="7"/>
      <c r="H422" s="11"/>
      <c r="I422" s="12"/>
      <c r="J422" s="1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x14ac:dyDescent="0.45">
      <c r="A423" s="24"/>
      <c r="B423" s="2"/>
      <c r="C423" s="10"/>
      <c r="D423" s="4"/>
      <c r="E423" s="5"/>
      <c r="F423" s="6"/>
      <c r="G423" s="7"/>
      <c r="H423" s="11"/>
      <c r="I423" s="12"/>
      <c r="J423" s="1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x14ac:dyDescent="0.45">
      <c r="A424" s="24"/>
      <c r="B424" s="2"/>
      <c r="C424" s="10"/>
      <c r="D424" s="4"/>
      <c r="E424" s="5"/>
      <c r="F424" s="6"/>
      <c r="G424" s="7"/>
      <c r="H424" s="11"/>
      <c r="I424" s="12"/>
      <c r="J424" s="1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x14ac:dyDescent="0.45">
      <c r="A425" s="24"/>
      <c r="B425" s="2"/>
      <c r="C425" s="10"/>
      <c r="D425" s="4"/>
      <c r="E425" s="5"/>
      <c r="F425" s="6"/>
      <c r="G425" s="7"/>
      <c r="H425" s="11"/>
      <c r="I425" s="12"/>
      <c r="J425" s="1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x14ac:dyDescent="0.45">
      <c r="A426" s="24"/>
      <c r="B426" s="2"/>
      <c r="C426" s="10"/>
      <c r="D426" s="4"/>
      <c r="E426" s="5"/>
      <c r="F426" s="6"/>
      <c r="G426" s="7"/>
      <c r="H426" s="11"/>
      <c r="I426" s="12"/>
      <c r="J426" s="1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x14ac:dyDescent="0.45">
      <c r="A427" s="24"/>
      <c r="B427" s="2"/>
      <c r="C427" s="10"/>
      <c r="D427" s="4"/>
      <c r="E427" s="5"/>
      <c r="F427" s="6"/>
      <c r="G427" s="7"/>
      <c r="H427" s="11"/>
      <c r="I427" s="12"/>
      <c r="J427" s="1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x14ac:dyDescent="0.45">
      <c r="A428" s="24"/>
      <c r="B428" s="2"/>
      <c r="C428" s="10"/>
      <c r="D428" s="4"/>
      <c r="E428" s="5"/>
      <c r="F428" s="6"/>
      <c r="G428" s="7"/>
      <c r="H428" s="11"/>
      <c r="I428" s="12"/>
      <c r="J428" s="1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x14ac:dyDescent="0.45">
      <c r="A429" s="24"/>
      <c r="B429" s="2"/>
      <c r="C429" s="10"/>
      <c r="D429" s="4"/>
      <c r="E429" s="5"/>
      <c r="F429" s="6"/>
      <c r="G429" s="7"/>
      <c r="H429" s="11"/>
      <c r="I429" s="12"/>
      <c r="J429" s="1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x14ac:dyDescent="0.45">
      <c r="A430" s="24"/>
      <c r="B430" s="2"/>
      <c r="C430" s="10"/>
      <c r="D430" s="4"/>
      <c r="E430" s="5"/>
      <c r="F430" s="6"/>
      <c r="G430" s="7"/>
      <c r="H430" s="11"/>
      <c r="I430" s="12"/>
      <c r="J430" s="1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x14ac:dyDescent="0.45">
      <c r="A431" s="24"/>
      <c r="B431" s="2"/>
      <c r="C431" s="10"/>
      <c r="D431" s="4"/>
      <c r="E431" s="5"/>
      <c r="F431" s="6"/>
      <c r="G431" s="7"/>
      <c r="H431" s="11"/>
      <c r="I431" s="12"/>
      <c r="J431" s="1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x14ac:dyDescent="0.45">
      <c r="A432" s="24"/>
      <c r="B432" s="2"/>
      <c r="C432" s="10"/>
      <c r="D432" s="4"/>
      <c r="E432" s="5"/>
      <c r="F432" s="6"/>
      <c r="G432" s="7"/>
      <c r="H432" s="11"/>
      <c r="I432" s="12"/>
      <c r="J432" s="1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x14ac:dyDescent="0.45">
      <c r="A433" s="24"/>
      <c r="B433" s="2"/>
      <c r="C433" s="10"/>
      <c r="D433" s="4"/>
      <c r="E433" s="5"/>
      <c r="F433" s="6"/>
      <c r="G433" s="7"/>
      <c r="H433" s="11"/>
      <c r="I433" s="12"/>
      <c r="J433" s="1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x14ac:dyDescent="0.45">
      <c r="A434" s="24"/>
      <c r="B434" s="2"/>
      <c r="C434" s="10"/>
      <c r="D434" s="4"/>
      <c r="E434" s="5"/>
      <c r="F434" s="6"/>
      <c r="G434" s="7"/>
      <c r="H434" s="11"/>
      <c r="I434" s="12"/>
      <c r="J434" s="1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x14ac:dyDescent="0.45">
      <c r="A435" s="24"/>
      <c r="B435" s="2"/>
      <c r="C435" s="10"/>
      <c r="D435" s="4"/>
      <c r="E435" s="5"/>
      <c r="F435" s="6"/>
      <c r="G435" s="7"/>
      <c r="H435" s="11"/>
      <c r="I435" s="12"/>
      <c r="J435" s="1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x14ac:dyDescent="0.45">
      <c r="A436" s="24"/>
      <c r="B436" s="2"/>
      <c r="C436" s="10"/>
      <c r="D436" s="4"/>
      <c r="E436" s="5"/>
      <c r="F436" s="6"/>
      <c r="G436" s="7"/>
      <c r="H436" s="11"/>
      <c r="I436" s="12"/>
      <c r="J436" s="1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x14ac:dyDescent="0.45">
      <c r="A437" s="24"/>
      <c r="B437" s="2"/>
      <c r="C437" s="10"/>
      <c r="D437" s="4"/>
      <c r="E437" s="5"/>
      <c r="F437" s="6"/>
      <c r="G437" s="7"/>
      <c r="H437" s="11"/>
      <c r="I437" s="12"/>
      <c r="J437" s="1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x14ac:dyDescent="0.45">
      <c r="A438" s="24"/>
      <c r="B438" s="2"/>
      <c r="C438" s="10"/>
      <c r="D438" s="4"/>
      <c r="E438" s="5"/>
      <c r="F438" s="6"/>
      <c r="G438" s="7"/>
      <c r="H438" s="11"/>
      <c r="I438" s="12"/>
      <c r="J438" s="1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x14ac:dyDescent="0.45">
      <c r="A439" s="24"/>
      <c r="B439" s="2"/>
      <c r="C439" s="10"/>
      <c r="D439" s="4"/>
      <c r="E439" s="5"/>
      <c r="F439" s="6"/>
      <c r="G439" s="7"/>
      <c r="H439" s="11"/>
      <c r="I439" s="12"/>
      <c r="J439" s="1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x14ac:dyDescent="0.45">
      <c r="A440" s="24"/>
      <c r="B440" s="2"/>
      <c r="C440" s="10"/>
      <c r="D440" s="4"/>
      <c r="E440" s="5"/>
      <c r="F440" s="6"/>
      <c r="G440" s="7"/>
      <c r="H440" s="11"/>
      <c r="I440" s="12"/>
      <c r="J440" s="1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x14ac:dyDescent="0.45">
      <c r="A441" s="24"/>
      <c r="B441" s="2"/>
      <c r="C441" s="10"/>
      <c r="D441" s="4"/>
      <c r="E441" s="5"/>
      <c r="F441" s="6"/>
      <c r="G441" s="7"/>
      <c r="H441" s="11"/>
      <c r="I441" s="12"/>
      <c r="J441" s="1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x14ac:dyDescent="0.45">
      <c r="A442" s="24"/>
      <c r="B442" s="2"/>
      <c r="C442" s="10"/>
      <c r="D442" s="4"/>
      <c r="E442" s="5"/>
      <c r="F442" s="6"/>
      <c r="G442" s="7"/>
      <c r="H442" s="11"/>
      <c r="I442" s="12"/>
      <c r="J442" s="1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x14ac:dyDescent="0.45">
      <c r="A443" s="24"/>
      <c r="B443" s="2"/>
      <c r="C443" s="10"/>
      <c r="D443" s="4"/>
      <c r="E443" s="5"/>
      <c r="F443" s="6"/>
      <c r="G443" s="7"/>
      <c r="H443" s="11"/>
      <c r="I443" s="12"/>
      <c r="J443" s="1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x14ac:dyDescent="0.45">
      <c r="A444" s="24"/>
      <c r="B444" s="2"/>
      <c r="C444" s="10"/>
      <c r="D444" s="4"/>
      <c r="E444" s="5"/>
      <c r="F444" s="6"/>
      <c r="G444" s="7"/>
      <c r="H444" s="11"/>
      <c r="I444" s="12"/>
      <c r="J444" s="1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x14ac:dyDescent="0.45">
      <c r="A445" s="24"/>
      <c r="B445" s="2"/>
      <c r="C445" s="10"/>
      <c r="D445" s="4"/>
      <c r="E445" s="5"/>
      <c r="F445" s="6"/>
      <c r="G445" s="7"/>
      <c r="H445" s="11"/>
      <c r="I445" s="12"/>
      <c r="J445" s="1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x14ac:dyDescent="0.45">
      <c r="A446" s="24"/>
      <c r="B446" s="2"/>
      <c r="C446" s="10"/>
      <c r="D446" s="4"/>
      <c r="E446" s="5"/>
      <c r="F446" s="6"/>
      <c r="G446" s="7"/>
      <c r="H446" s="11"/>
      <c r="I446" s="12"/>
      <c r="J446" s="1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x14ac:dyDescent="0.45">
      <c r="A447" s="24"/>
      <c r="B447" s="2"/>
      <c r="C447" s="10"/>
      <c r="D447" s="4"/>
      <c r="E447" s="5"/>
      <c r="F447" s="6"/>
      <c r="G447" s="7"/>
      <c r="H447" s="11"/>
      <c r="I447" s="12"/>
      <c r="J447" s="1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x14ac:dyDescent="0.45">
      <c r="A448" s="24"/>
      <c r="B448" s="2"/>
      <c r="C448" s="10"/>
      <c r="D448" s="4"/>
      <c r="E448" s="5"/>
      <c r="F448" s="6"/>
      <c r="G448" s="7"/>
      <c r="H448" s="11"/>
      <c r="I448" s="12"/>
      <c r="J448" s="1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x14ac:dyDescent="0.45">
      <c r="A449" s="24"/>
      <c r="B449" s="2"/>
      <c r="C449" s="10"/>
      <c r="D449" s="4"/>
      <c r="E449" s="5"/>
      <c r="F449" s="6"/>
      <c r="G449" s="7"/>
      <c r="H449" s="11"/>
      <c r="I449" s="12"/>
      <c r="J449" s="1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x14ac:dyDescent="0.45">
      <c r="A450" s="24"/>
      <c r="B450" s="2"/>
      <c r="C450" s="10"/>
      <c r="D450" s="4"/>
      <c r="E450" s="5"/>
      <c r="F450" s="6"/>
      <c r="G450" s="7"/>
      <c r="H450" s="11"/>
      <c r="I450" s="12"/>
      <c r="J450" s="1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x14ac:dyDescent="0.45">
      <c r="A451" s="24"/>
      <c r="B451" s="2"/>
      <c r="C451" s="10"/>
      <c r="D451" s="4"/>
      <c r="E451" s="5"/>
      <c r="F451" s="6"/>
      <c r="G451" s="7"/>
      <c r="H451" s="11"/>
      <c r="I451" s="12"/>
      <c r="J451" s="1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x14ac:dyDescent="0.45">
      <c r="A452" s="24"/>
      <c r="B452" s="2"/>
      <c r="C452" s="10"/>
      <c r="D452" s="4"/>
      <c r="E452" s="5"/>
      <c r="F452" s="6"/>
      <c r="G452" s="7"/>
      <c r="H452" s="11"/>
      <c r="I452" s="12"/>
      <c r="J452" s="1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x14ac:dyDescent="0.45">
      <c r="A453" s="24"/>
      <c r="B453" s="2"/>
      <c r="C453" s="10"/>
      <c r="D453" s="4"/>
      <c r="E453" s="5"/>
      <c r="F453" s="6"/>
      <c r="G453" s="7"/>
      <c r="H453" s="11"/>
      <c r="I453" s="12"/>
      <c r="J453" s="1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x14ac:dyDescent="0.45">
      <c r="A454" s="24"/>
      <c r="B454" s="2"/>
      <c r="C454" s="10"/>
      <c r="D454" s="4"/>
      <c r="E454" s="5"/>
      <c r="F454" s="6"/>
      <c r="G454" s="7"/>
      <c r="H454" s="11"/>
      <c r="I454" s="12"/>
      <c r="J454" s="1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x14ac:dyDescent="0.45">
      <c r="A455" s="24"/>
      <c r="B455" s="2"/>
      <c r="C455" s="10"/>
      <c r="D455" s="4"/>
      <c r="E455" s="5"/>
      <c r="F455" s="6"/>
      <c r="G455" s="7"/>
      <c r="H455" s="11"/>
      <c r="I455" s="12"/>
      <c r="J455" s="1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x14ac:dyDescent="0.45">
      <c r="A456" s="24"/>
      <c r="B456" s="2"/>
      <c r="C456" s="10"/>
      <c r="D456" s="4"/>
      <c r="E456" s="5"/>
      <c r="F456" s="6"/>
      <c r="G456" s="7"/>
      <c r="H456" s="11"/>
      <c r="I456" s="12"/>
      <c r="J456" s="1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x14ac:dyDescent="0.45">
      <c r="A457" s="24"/>
      <c r="B457" s="2"/>
      <c r="C457" s="10"/>
      <c r="D457" s="4"/>
      <c r="E457" s="5"/>
      <c r="F457" s="6"/>
      <c r="G457" s="7"/>
      <c r="H457" s="11"/>
      <c r="I457" s="12"/>
      <c r="J457" s="1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x14ac:dyDescent="0.45">
      <c r="A458" s="24"/>
      <c r="B458" s="2"/>
      <c r="C458" s="10"/>
      <c r="D458" s="4"/>
      <c r="E458" s="5"/>
      <c r="F458" s="6"/>
      <c r="G458" s="7"/>
      <c r="H458" s="11"/>
      <c r="I458" s="12"/>
      <c r="J458" s="1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x14ac:dyDescent="0.45">
      <c r="A459" s="24"/>
      <c r="B459" s="2"/>
      <c r="C459" s="10"/>
      <c r="D459" s="4"/>
      <c r="E459" s="5"/>
      <c r="F459" s="6"/>
      <c r="G459" s="7"/>
      <c r="H459" s="11"/>
      <c r="I459" s="12"/>
      <c r="J459" s="1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x14ac:dyDescent="0.45">
      <c r="A460" s="24"/>
      <c r="B460" s="2"/>
      <c r="C460" s="10"/>
      <c r="D460" s="4"/>
      <c r="E460" s="5"/>
      <c r="F460" s="6"/>
      <c r="G460" s="7"/>
      <c r="H460" s="11"/>
      <c r="I460" s="12"/>
      <c r="J460" s="1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x14ac:dyDescent="0.45">
      <c r="A461" s="24"/>
      <c r="B461" s="2"/>
      <c r="C461" s="10"/>
      <c r="D461" s="4"/>
      <c r="E461" s="5"/>
      <c r="F461" s="6"/>
      <c r="G461" s="7"/>
      <c r="H461" s="11"/>
      <c r="I461" s="12"/>
      <c r="J461" s="1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x14ac:dyDescent="0.45">
      <c r="A462" s="24"/>
      <c r="B462" s="2"/>
      <c r="C462" s="10"/>
      <c r="D462" s="4"/>
      <c r="E462" s="5"/>
      <c r="F462" s="6"/>
      <c r="G462" s="7"/>
      <c r="H462" s="11"/>
      <c r="I462" s="12"/>
      <c r="J462" s="1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x14ac:dyDescent="0.45">
      <c r="A463" s="24"/>
      <c r="B463" s="2"/>
      <c r="C463" s="10"/>
      <c r="D463" s="4"/>
      <c r="E463" s="5"/>
      <c r="F463" s="6"/>
      <c r="G463" s="7"/>
      <c r="H463" s="11"/>
      <c r="I463" s="12"/>
      <c r="J463" s="1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x14ac:dyDescent="0.45">
      <c r="A464" s="24"/>
      <c r="B464" s="2"/>
      <c r="C464" s="10"/>
      <c r="D464" s="4"/>
      <c r="E464" s="5"/>
      <c r="F464" s="6"/>
      <c r="G464" s="7"/>
      <c r="H464" s="11"/>
      <c r="I464" s="12"/>
      <c r="J464" s="1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x14ac:dyDescent="0.45">
      <c r="A465" s="24"/>
      <c r="B465" s="2"/>
      <c r="C465" s="10"/>
      <c r="D465" s="4"/>
      <c r="E465" s="5"/>
      <c r="F465" s="6"/>
      <c r="G465" s="7"/>
      <c r="H465" s="11"/>
      <c r="I465" s="12"/>
      <c r="J465" s="1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x14ac:dyDescent="0.45">
      <c r="A466" s="24"/>
      <c r="B466" s="2"/>
      <c r="C466" s="10"/>
      <c r="D466" s="4"/>
      <c r="E466" s="5"/>
      <c r="F466" s="6"/>
      <c r="G466" s="7"/>
      <c r="H466" s="11"/>
      <c r="I466" s="12"/>
      <c r="J466" s="1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x14ac:dyDescent="0.45">
      <c r="A467" s="24"/>
      <c r="B467" s="2"/>
      <c r="C467" s="10"/>
      <c r="D467" s="4"/>
      <c r="E467" s="5"/>
      <c r="F467" s="6"/>
      <c r="G467" s="7"/>
      <c r="H467" s="11"/>
      <c r="I467" s="12"/>
      <c r="J467" s="1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x14ac:dyDescent="0.45">
      <c r="A468" s="24"/>
      <c r="B468" s="2"/>
      <c r="C468" s="10"/>
      <c r="D468" s="4"/>
      <c r="E468" s="5"/>
      <c r="F468" s="6"/>
      <c r="G468" s="7"/>
      <c r="H468" s="11"/>
      <c r="I468" s="12"/>
      <c r="J468" s="1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x14ac:dyDescent="0.45">
      <c r="A469" s="24"/>
      <c r="B469" s="2"/>
      <c r="C469" s="10"/>
      <c r="D469" s="4"/>
      <c r="E469" s="5"/>
      <c r="F469" s="6"/>
      <c r="G469" s="7"/>
      <c r="H469" s="11"/>
      <c r="I469" s="12"/>
      <c r="J469" s="1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x14ac:dyDescent="0.45">
      <c r="A470" s="24"/>
      <c r="B470" s="2"/>
      <c r="C470" s="10"/>
      <c r="D470" s="4"/>
      <c r="E470" s="5"/>
      <c r="F470" s="6"/>
      <c r="G470" s="7"/>
      <c r="H470" s="11"/>
      <c r="I470" s="12"/>
      <c r="J470" s="1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x14ac:dyDescent="0.45">
      <c r="A471" s="24"/>
      <c r="B471" s="2"/>
      <c r="C471" s="10"/>
      <c r="D471" s="4"/>
      <c r="E471" s="5"/>
      <c r="F471" s="6"/>
      <c r="G471" s="7"/>
      <c r="H471" s="11"/>
      <c r="I471" s="12"/>
      <c r="J471" s="1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x14ac:dyDescent="0.45">
      <c r="A472" s="24"/>
      <c r="B472" s="2"/>
      <c r="C472" s="10"/>
      <c r="D472" s="4"/>
      <c r="E472" s="5"/>
      <c r="F472" s="6"/>
      <c r="G472" s="7"/>
      <c r="H472" s="11"/>
      <c r="I472" s="12"/>
      <c r="J472" s="1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x14ac:dyDescent="0.45">
      <c r="A473" s="24"/>
      <c r="B473" s="2"/>
      <c r="C473" s="10"/>
      <c r="D473" s="4"/>
      <c r="E473" s="5"/>
      <c r="F473" s="6"/>
      <c r="G473" s="7"/>
      <c r="H473" s="11"/>
      <c r="I473" s="12"/>
      <c r="J473" s="1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x14ac:dyDescent="0.45">
      <c r="A474" s="24"/>
      <c r="B474" s="2"/>
      <c r="C474" s="10"/>
      <c r="D474" s="4"/>
      <c r="E474" s="5"/>
      <c r="F474" s="6"/>
      <c r="G474" s="7"/>
      <c r="H474" s="11"/>
      <c r="I474" s="12"/>
      <c r="J474" s="1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x14ac:dyDescent="0.45">
      <c r="A475" s="24"/>
      <c r="B475" s="2"/>
      <c r="C475" s="10"/>
      <c r="D475" s="4"/>
      <c r="E475" s="5"/>
      <c r="F475" s="6"/>
      <c r="G475" s="7"/>
      <c r="H475" s="11"/>
      <c r="I475" s="12"/>
      <c r="J475" s="1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x14ac:dyDescent="0.45">
      <c r="A476" s="24"/>
      <c r="B476" s="2"/>
      <c r="C476" s="10"/>
      <c r="D476" s="4"/>
      <c r="E476" s="5"/>
      <c r="F476" s="6"/>
      <c r="G476" s="7"/>
      <c r="H476" s="11"/>
      <c r="I476" s="12"/>
      <c r="J476" s="1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x14ac:dyDescent="0.45">
      <c r="A477" s="24"/>
      <c r="B477" s="2"/>
      <c r="C477" s="10"/>
      <c r="D477" s="4"/>
      <c r="E477" s="5"/>
      <c r="F477" s="6"/>
      <c r="G477" s="7"/>
      <c r="H477" s="11"/>
      <c r="I477" s="12"/>
      <c r="J477" s="1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x14ac:dyDescent="0.45">
      <c r="A478" s="24"/>
      <c r="B478" s="2"/>
      <c r="C478" s="10"/>
      <c r="D478" s="4"/>
      <c r="E478" s="5"/>
      <c r="F478" s="6"/>
      <c r="G478" s="7"/>
      <c r="H478" s="11"/>
      <c r="I478" s="12"/>
      <c r="J478" s="1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x14ac:dyDescent="0.45">
      <c r="A479" s="24"/>
      <c r="B479" s="2"/>
      <c r="C479" s="10"/>
      <c r="D479" s="4"/>
      <c r="E479" s="5"/>
      <c r="F479" s="6"/>
      <c r="G479" s="7"/>
      <c r="H479" s="11"/>
      <c r="I479" s="12"/>
      <c r="J479" s="1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x14ac:dyDescent="0.45">
      <c r="A480" s="24"/>
      <c r="B480" s="2"/>
      <c r="C480" s="10"/>
      <c r="D480" s="4"/>
      <c r="E480" s="5"/>
      <c r="F480" s="6"/>
      <c r="G480" s="7"/>
      <c r="H480" s="11"/>
      <c r="I480" s="12"/>
      <c r="J480" s="1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x14ac:dyDescent="0.45">
      <c r="A481" s="24"/>
      <c r="B481" s="2"/>
      <c r="C481" s="10"/>
      <c r="D481" s="4"/>
      <c r="E481" s="5"/>
      <c r="F481" s="6"/>
      <c r="G481" s="7"/>
      <c r="H481" s="11"/>
      <c r="I481" s="12"/>
      <c r="J481" s="1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x14ac:dyDescent="0.45">
      <c r="A482" s="24"/>
      <c r="B482" s="2"/>
      <c r="C482" s="10"/>
      <c r="D482" s="4"/>
      <c r="E482" s="5"/>
      <c r="F482" s="6"/>
      <c r="G482" s="7"/>
      <c r="H482" s="11"/>
      <c r="I482" s="12"/>
      <c r="J482" s="1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x14ac:dyDescent="0.45">
      <c r="A483" s="24"/>
      <c r="B483" s="2"/>
      <c r="C483" s="10"/>
      <c r="D483" s="4"/>
      <c r="E483" s="5"/>
      <c r="F483" s="6"/>
      <c r="G483" s="7"/>
      <c r="H483" s="11"/>
      <c r="I483" s="12"/>
      <c r="J483" s="1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x14ac:dyDescent="0.45">
      <c r="A484" s="24"/>
      <c r="B484" s="2"/>
      <c r="C484" s="10"/>
      <c r="D484" s="4"/>
      <c r="E484" s="5"/>
      <c r="F484" s="6"/>
      <c r="G484" s="7"/>
      <c r="H484" s="11"/>
      <c r="I484" s="12"/>
      <c r="J484" s="1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x14ac:dyDescent="0.45">
      <c r="A485" s="24"/>
      <c r="B485" s="2"/>
      <c r="C485" s="10"/>
      <c r="D485" s="4"/>
      <c r="E485" s="5"/>
      <c r="F485" s="6"/>
      <c r="G485" s="7"/>
      <c r="H485" s="11"/>
      <c r="I485" s="12"/>
      <c r="J485" s="1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x14ac:dyDescent="0.45">
      <c r="A486" s="24"/>
      <c r="B486" s="2"/>
      <c r="C486" s="10"/>
      <c r="D486" s="4"/>
      <c r="E486" s="5"/>
      <c r="F486" s="6"/>
      <c r="G486" s="7"/>
      <c r="H486" s="11"/>
      <c r="I486" s="12"/>
      <c r="J486" s="1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x14ac:dyDescent="0.45">
      <c r="A487" s="24"/>
      <c r="B487" s="2"/>
      <c r="C487" s="10"/>
      <c r="D487" s="4"/>
      <c r="E487" s="5"/>
      <c r="F487" s="6"/>
      <c r="G487" s="7"/>
      <c r="H487" s="11"/>
      <c r="I487" s="12"/>
      <c r="J487" s="1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x14ac:dyDescent="0.45">
      <c r="A488" s="24"/>
      <c r="B488" s="2"/>
      <c r="C488" s="10"/>
      <c r="D488" s="4"/>
      <c r="E488" s="5"/>
      <c r="F488" s="6"/>
      <c r="G488" s="7"/>
      <c r="H488" s="11"/>
      <c r="I488" s="12"/>
      <c r="J488" s="1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x14ac:dyDescent="0.45">
      <c r="A489" s="24"/>
      <c r="B489" s="2"/>
      <c r="C489" s="10"/>
      <c r="D489" s="4"/>
      <c r="E489" s="5"/>
      <c r="F489" s="6"/>
      <c r="G489" s="7"/>
      <c r="H489" s="11"/>
      <c r="I489" s="12"/>
      <c r="J489" s="1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x14ac:dyDescent="0.45">
      <c r="A490" s="24"/>
      <c r="B490" s="2"/>
      <c r="C490" s="10"/>
      <c r="D490" s="4"/>
      <c r="E490" s="5"/>
      <c r="F490" s="6"/>
      <c r="G490" s="7"/>
      <c r="H490" s="11"/>
      <c r="I490" s="12"/>
      <c r="J490" s="1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x14ac:dyDescent="0.45">
      <c r="A491" s="24"/>
      <c r="B491" s="2"/>
      <c r="C491" s="10"/>
      <c r="D491" s="4"/>
      <c r="E491" s="5"/>
      <c r="F491" s="6"/>
      <c r="G491" s="7"/>
      <c r="H491" s="11"/>
      <c r="I491" s="12"/>
      <c r="J491" s="1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x14ac:dyDescent="0.45">
      <c r="A492" s="24"/>
      <c r="B492" s="2"/>
      <c r="C492" s="10"/>
      <c r="D492" s="4"/>
      <c r="E492" s="5"/>
      <c r="F492" s="6"/>
      <c r="G492" s="7"/>
      <c r="H492" s="11"/>
      <c r="I492" s="12"/>
      <c r="J492" s="1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x14ac:dyDescent="0.45">
      <c r="A493" s="24"/>
      <c r="B493" s="2"/>
      <c r="C493" s="10"/>
      <c r="D493" s="4"/>
      <c r="E493" s="5"/>
      <c r="F493" s="6"/>
      <c r="G493" s="7"/>
      <c r="H493" s="11"/>
      <c r="I493" s="12"/>
      <c r="J493" s="1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x14ac:dyDescent="0.45">
      <c r="A494" s="24"/>
      <c r="B494" s="2"/>
      <c r="C494" s="10"/>
      <c r="D494" s="4"/>
      <c r="E494" s="5"/>
      <c r="F494" s="6"/>
      <c r="G494" s="7"/>
      <c r="H494" s="11"/>
      <c r="I494" s="12"/>
      <c r="J494" s="1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x14ac:dyDescent="0.45">
      <c r="A495" s="24"/>
      <c r="B495" s="2"/>
      <c r="C495" s="10"/>
      <c r="D495" s="4"/>
      <c r="E495" s="5"/>
      <c r="F495" s="6"/>
      <c r="G495" s="7"/>
      <c r="H495" s="11"/>
      <c r="I495" s="12"/>
      <c r="J495" s="1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x14ac:dyDescent="0.45">
      <c r="A496" s="24"/>
      <c r="B496" s="2"/>
      <c r="C496" s="10"/>
      <c r="D496" s="4"/>
      <c r="E496" s="5"/>
      <c r="F496" s="6"/>
      <c r="G496" s="7"/>
      <c r="H496" s="11"/>
      <c r="I496" s="12"/>
      <c r="J496" s="1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x14ac:dyDescent="0.45">
      <c r="A497" s="24"/>
      <c r="B497" s="2"/>
      <c r="C497" s="10"/>
      <c r="D497" s="4"/>
      <c r="E497" s="5"/>
      <c r="F497" s="6"/>
      <c r="G497" s="7"/>
      <c r="H497" s="11"/>
      <c r="I497" s="12"/>
      <c r="J497" s="1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x14ac:dyDescent="0.45">
      <c r="A498" s="24"/>
      <c r="B498" s="2"/>
      <c r="C498" s="10"/>
      <c r="D498" s="4"/>
      <c r="E498" s="5"/>
      <c r="F498" s="6"/>
      <c r="G498" s="7"/>
      <c r="H498" s="11"/>
      <c r="I498" s="12"/>
      <c r="J498" s="1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x14ac:dyDescent="0.45">
      <c r="A499" s="24"/>
      <c r="B499" s="2"/>
      <c r="C499" s="10"/>
      <c r="D499" s="4"/>
      <c r="E499" s="5"/>
      <c r="F499" s="6"/>
      <c r="G499" s="7"/>
      <c r="H499" s="11"/>
      <c r="I499" s="12"/>
      <c r="J499" s="1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x14ac:dyDescent="0.45">
      <c r="A500" s="24"/>
      <c r="B500" s="2"/>
      <c r="C500" s="10"/>
      <c r="D500" s="4"/>
      <c r="E500" s="5"/>
      <c r="F500" s="6"/>
      <c r="G500" s="7"/>
      <c r="H500" s="11"/>
      <c r="I500" s="12"/>
      <c r="J500" s="1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x14ac:dyDescent="0.45">
      <c r="A501" s="24"/>
      <c r="B501" s="2"/>
      <c r="C501" s="10"/>
      <c r="D501" s="4"/>
      <c r="E501" s="5"/>
      <c r="F501" s="6"/>
      <c r="G501" s="7"/>
      <c r="H501" s="11"/>
      <c r="I501" s="12"/>
      <c r="J501" s="1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x14ac:dyDescent="0.45">
      <c r="A502" s="24"/>
      <c r="B502" s="2"/>
      <c r="C502" s="10"/>
      <c r="D502" s="4"/>
      <c r="E502" s="5"/>
      <c r="F502" s="6"/>
      <c r="G502" s="7"/>
      <c r="H502" s="11"/>
      <c r="I502" s="12"/>
      <c r="J502" s="1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x14ac:dyDescent="0.45">
      <c r="A503" s="24"/>
      <c r="B503" s="2"/>
      <c r="C503" s="10"/>
      <c r="D503" s="4"/>
      <c r="E503" s="5"/>
      <c r="F503" s="6"/>
      <c r="G503" s="7"/>
      <c r="H503" s="11"/>
      <c r="I503" s="12"/>
      <c r="J503" s="1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x14ac:dyDescent="0.45">
      <c r="A504" s="24"/>
      <c r="B504" s="2"/>
      <c r="C504" s="10"/>
      <c r="D504" s="4"/>
      <c r="E504" s="5"/>
      <c r="F504" s="6"/>
      <c r="G504" s="7"/>
      <c r="H504" s="11"/>
      <c r="I504" s="12"/>
      <c r="J504" s="1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x14ac:dyDescent="0.45">
      <c r="A505" s="24"/>
      <c r="B505" s="2"/>
      <c r="C505" s="10"/>
      <c r="D505" s="4"/>
      <c r="E505" s="5"/>
      <c r="F505" s="6"/>
      <c r="G505" s="7"/>
      <c r="H505" s="11"/>
      <c r="I505" s="12"/>
      <c r="J505" s="1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x14ac:dyDescent="0.45">
      <c r="A506" s="24"/>
      <c r="B506" s="2"/>
      <c r="C506" s="10"/>
      <c r="D506" s="4"/>
      <c r="E506" s="5"/>
      <c r="F506" s="6"/>
      <c r="G506" s="7"/>
      <c r="H506" s="11"/>
      <c r="I506" s="12"/>
      <c r="J506" s="1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x14ac:dyDescent="0.45">
      <c r="A507" s="24"/>
      <c r="B507" s="2"/>
      <c r="C507" s="10"/>
      <c r="D507" s="4"/>
      <c r="E507" s="5"/>
      <c r="F507" s="6"/>
      <c r="G507" s="7"/>
      <c r="H507" s="11"/>
      <c r="I507" s="12"/>
      <c r="J507" s="1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x14ac:dyDescent="0.45">
      <c r="A508" s="24"/>
      <c r="B508" s="2"/>
      <c r="C508" s="10"/>
      <c r="D508" s="4"/>
      <c r="E508" s="5"/>
      <c r="F508" s="6"/>
      <c r="G508" s="7"/>
      <c r="H508" s="11"/>
      <c r="I508" s="12"/>
      <c r="J508" s="1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x14ac:dyDescent="0.45">
      <c r="A509" s="24"/>
      <c r="B509" s="2"/>
      <c r="C509" s="10"/>
      <c r="D509" s="4"/>
      <c r="E509" s="5"/>
      <c r="F509" s="6"/>
      <c r="G509" s="7"/>
      <c r="H509" s="11"/>
      <c r="I509" s="12"/>
      <c r="J509" s="1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x14ac:dyDescent="0.45">
      <c r="A510" s="24"/>
      <c r="B510" s="2"/>
      <c r="C510" s="10"/>
      <c r="D510" s="4"/>
      <c r="E510" s="5"/>
      <c r="F510" s="6"/>
      <c r="G510" s="7"/>
      <c r="H510" s="11"/>
      <c r="I510" s="12"/>
      <c r="J510" s="1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x14ac:dyDescent="0.45">
      <c r="A511" s="24"/>
      <c r="B511" s="2"/>
      <c r="C511" s="10"/>
      <c r="D511" s="4"/>
      <c r="E511" s="5"/>
      <c r="F511" s="6"/>
      <c r="G511" s="7"/>
      <c r="H511" s="11"/>
      <c r="I511" s="12"/>
      <c r="J511" s="1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x14ac:dyDescent="0.45">
      <c r="A512" s="24"/>
      <c r="B512" s="2"/>
      <c r="C512" s="10"/>
      <c r="D512" s="4"/>
      <c r="E512" s="5"/>
      <c r="F512" s="6"/>
      <c r="G512" s="7"/>
      <c r="H512" s="11"/>
      <c r="I512" s="12"/>
      <c r="J512" s="1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x14ac:dyDescent="0.45">
      <c r="A513" s="24"/>
      <c r="B513" s="2"/>
      <c r="C513" s="10"/>
      <c r="D513" s="4"/>
      <c r="E513" s="5"/>
      <c r="F513" s="6"/>
      <c r="G513" s="7"/>
      <c r="H513" s="11"/>
      <c r="I513" s="12"/>
      <c r="J513" s="1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x14ac:dyDescent="0.45">
      <c r="A514" s="24"/>
      <c r="B514" s="2"/>
      <c r="C514" s="10"/>
      <c r="D514" s="4"/>
      <c r="E514" s="5"/>
      <c r="F514" s="6"/>
      <c r="G514" s="7"/>
      <c r="H514" s="11"/>
      <c r="I514" s="12"/>
      <c r="J514" s="1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x14ac:dyDescent="0.45">
      <c r="A515" s="24"/>
      <c r="B515" s="2"/>
      <c r="C515" s="10"/>
      <c r="D515" s="4"/>
      <c r="E515" s="5"/>
      <c r="F515" s="6"/>
      <c r="G515" s="7"/>
      <c r="H515" s="11"/>
      <c r="I515" s="12"/>
      <c r="J515" s="1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x14ac:dyDescent="0.45">
      <c r="A516" s="24"/>
      <c r="B516" s="2"/>
      <c r="C516" s="10"/>
      <c r="D516" s="4"/>
      <c r="E516" s="5"/>
      <c r="F516" s="6"/>
      <c r="G516" s="7"/>
      <c r="H516" s="11"/>
      <c r="I516" s="12"/>
      <c r="J516" s="1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x14ac:dyDescent="0.45">
      <c r="A517" s="24"/>
      <c r="B517" s="2"/>
      <c r="C517" s="10"/>
      <c r="D517" s="4"/>
      <c r="E517" s="5"/>
      <c r="F517" s="6"/>
      <c r="G517" s="7"/>
      <c r="H517" s="11"/>
      <c r="I517" s="12"/>
      <c r="J517" s="1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x14ac:dyDescent="0.45">
      <c r="A518" s="24"/>
      <c r="B518" s="2"/>
      <c r="C518" s="10"/>
      <c r="D518" s="4"/>
      <c r="E518" s="5"/>
      <c r="F518" s="6"/>
      <c r="G518" s="7"/>
      <c r="H518" s="11"/>
      <c r="I518" s="12"/>
      <c r="J518" s="1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x14ac:dyDescent="0.45">
      <c r="A519" s="24"/>
      <c r="B519" s="2"/>
      <c r="C519" s="10"/>
      <c r="D519" s="4"/>
      <c r="E519" s="5"/>
      <c r="F519" s="6"/>
      <c r="G519" s="7"/>
      <c r="H519" s="11"/>
      <c r="I519" s="12"/>
      <c r="J519" s="1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x14ac:dyDescent="0.45">
      <c r="A520" s="24"/>
      <c r="B520" s="2"/>
      <c r="C520" s="10"/>
      <c r="D520" s="4"/>
      <c r="E520" s="5"/>
      <c r="F520" s="6"/>
      <c r="G520" s="7"/>
      <c r="H520" s="11"/>
      <c r="I520" s="12"/>
      <c r="J520" s="1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x14ac:dyDescent="0.45">
      <c r="A521" s="24"/>
      <c r="B521" s="2"/>
      <c r="C521" s="10"/>
      <c r="D521" s="4"/>
      <c r="E521" s="5"/>
      <c r="F521" s="6"/>
      <c r="G521" s="7"/>
      <c r="H521" s="11"/>
      <c r="I521" s="12"/>
      <c r="J521" s="1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x14ac:dyDescent="0.45">
      <c r="A522" s="24"/>
      <c r="B522" s="2"/>
      <c r="C522" s="10"/>
      <c r="D522" s="4"/>
      <c r="E522" s="5"/>
      <c r="F522" s="6"/>
      <c r="G522" s="7"/>
      <c r="H522" s="11"/>
      <c r="I522" s="12"/>
      <c r="J522" s="1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x14ac:dyDescent="0.45">
      <c r="A523" s="24"/>
      <c r="B523" s="2"/>
      <c r="C523" s="10"/>
      <c r="D523" s="4"/>
      <c r="E523" s="5"/>
      <c r="F523" s="6"/>
      <c r="G523" s="7"/>
      <c r="H523" s="11"/>
      <c r="I523" s="12"/>
      <c r="J523" s="1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x14ac:dyDescent="0.45">
      <c r="A524" s="24"/>
      <c r="B524" s="2"/>
      <c r="C524" s="10"/>
      <c r="D524" s="4"/>
      <c r="E524" s="5"/>
      <c r="F524" s="6"/>
      <c r="G524" s="7"/>
      <c r="H524" s="11"/>
      <c r="I524" s="12"/>
      <c r="J524" s="1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x14ac:dyDescent="0.45">
      <c r="A525" s="24"/>
      <c r="B525" s="2"/>
      <c r="C525" s="10"/>
      <c r="D525" s="4"/>
      <c r="E525" s="5"/>
      <c r="F525" s="6"/>
      <c r="G525" s="7"/>
      <c r="H525" s="11"/>
      <c r="I525" s="12"/>
      <c r="J525" s="1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x14ac:dyDescent="0.45">
      <c r="A526" s="24"/>
      <c r="B526" s="2"/>
      <c r="C526" s="10"/>
      <c r="D526" s="4"/>
      <c r="E526" s="5"/>
      <c r="F526" s="6"/>
      <c r="G526" s="7"/>
      <c r="H526" s="11"/>
      <c r="I526" s="12"/>
      <c r="J526" s="1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x14ac:dyDescent="0.45">
      <c r="A527" s="24"/>
      <c r="B527" s="2"/>
      <c r="C527" s="10"/>
      <c r="D527" s="4"/>
      <c r="E527" s="5"/>
      <c r="F527" s="6"/>
      <c r="G527" s="7"/>
      <c r="H527" s="11"/>
      <c r="I527" s="12"/>
      <c r="J527" s="1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x14ac:dyDescent="0.45">
      <c r="A528" s="24"/>
      <c r="B528" s="2"/>
      <c r="C528" s="10"/>
      <c r="D528" s="4"/>
      <c r="E528" s="5"/>
      <c r="F528" s="6"/>
      <c r="G528" s="7"/>
      <c r="H528" s="11"/>
      <c r="I528" s="12"/>
      <c r="J528" s="1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x14ac:dyDescent="0.45">
      <c r="A529" s="24"/>
      <c r="B529" s="2"/>
      <c r="C529" s="10"/>
      <c r="D529" s="4"/>
      <c r="E529" s="5"/>
      <c r="F529" s="6"/>
      <c r="G529" s="7"/>
      <c r="H529" s="11"/>
      <c r="I529" s="12"/>
      <c r="J529" s="1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x14ac:dyDescent="0.45">
      <c r="A530" s="24"/>
      <c r="B530" s="2"/>
      <c r="C530" s="10"/>
      <c r="D530" s="4"/>
      <c r="E530" s="5"/>
      <c r="F530" s="6"/>
      <c r="G530" s="7"/>
      <c r="H530" s="11"/>
      <c r="I530" s="12"/>
      <c r="J530" s="1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x14ac:dyDescent="0.45">
      <c r="A531" s="24"/>
      <c r="B531" s="2"/>
      <c r="C531" s="10"/>
      <c r="D531" s="4"/>
      <c r="E531" s="5"/>
      <c r="F531" s="6"/>
      <c r="G531" s="7"/>
      <c r="H531" s="11"/>
      <c r="I531" s="12"/>
      <c r="J531" s="1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x14ac:dyDescent="0.45">
      <c r="A532" s="24"/>
      <c r="B532" s="2"/>
      <c r="C532" s="10"/>
      <c r="D532" s="4"/>
      <c r="E532" s="5"/>
      <c r="F532" s="6"/>
      <c r="G532" s="7"/>
      <c r="H532" s="11"/>
      <c r="I532" s="12"/>
      <c r="J532" s="1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x14ac:dyDescent="0.45">
      <c r="A533" s="24"/>
      <c r="B533" s="2"/>
      <c r="C533" s="10"/>
      <c r="D533" s="4"/>
      <c r="E533" s="5"/>
      <c r="F533" s="6"/>
      <c r="G533" s="7"/>
      <c r="H533" s="11"/>
      <c r="I533" s="12"/>
      <c r="J533" s="1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x14ac:dyDescent="0.45">
      <c r="A534" s="24"/>
      <c r="B534" s="2"/>
      <c r="C534" s="10"/>
      <c r="D534" s="4"/>
      <c r="E534" s="5"/>
      <c r="F534" s="6"/>
      <c r="G534" s="7"/>
      <c r="H534" s="11"/>
      <c r="I534" s="12"/>
      <c r="J534" s="1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x14ac:dyDescent="0.45">
      <c r="A535" s="24"/>
      <c r="B535" s="2"/>
      <c r="C535" s="10"/>
      <c r="D535" s="4"/>
      <c r="E535" s="5"/>
      <c r="F535" s="6"/>
      <c r="G535" s="7"/>
      <c r="H535" s="11"/>
      <c r="I535" s="12"/>
      <c r="J535" s="1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x14ac:dyDescent="0.45">
      <c r="A536" s="24"/>
      <c r="B536" s="2"/>
      <c r="C536" s="10"/>
      <c r="D536" s="4"/>
      <c r="E536" s="5"/>
      <c r="F536" s="6"/>
      <c r="G536" s="7"/>
      <c r="H536" s="11"/>
      <c r="I536" s="12"/>
      <c r="J536" s="1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x14ac:dyDescent="0.45">
      <c r="A537" s="24"/>
      <c r="B537" s="2"/>
      <c r="C537" s="10"/>
      <c r="D537" s="4"/>
      <c r="E537" s="5"/>
      <c r="F537" s="6"/>
      <c r="G537" s="7"/>
      <c r="H537" s="11"/>
      <c r="I537" s="12"/>
      <c r="J537" s="1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x14ac:dyDescent="0.45">
      <c r="A538" s="24"/>
      <c r="B538" s="2"/>
      <c r="C538" s="10"/>
      <c r="D538" s="4"/>
      <c r="E538" s="5"/>
      <c r="F538" s="6"/>
      <c r="G538" s="7"/>
      <c r="H538" s="11"/>
      <c r="I538" s="12"/>
      <c r="J538" s="1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x14ac:dyDescent="0.45">
      <c r="A539" s="24"/>
      <c r="B539" s="2"/>
      <c r="C539" s="10"/>
      <c r="D539" s="4"/>
      <c r="E539" s="5"/>
      <c r="F539" s="6"/>
      <c r="G539" s="7"/>
      <c r="H539" s="11"/>
      <c r="I539" s="12"/>
      <c r="J539" s="1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x14ac:dyDescent="0.45">
      <c r="A540" s="24"/>
      <c r="B540" s="2"/>
      <c r="C540" s="10"/>
      <c r="D540" s="4"/>
      <c r="E540" s="5"/>
      <c r="F540" s="6"/>
      <c r="G540" s="7"/>
      <c r="H540" s="11"/>
      <c r="I540" s="12"/>
      <c r="J540" s="1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x14ac:dyDescent="0.45">
      <c r="A541" s="24"/>
      <c r="B541" s="2"/>
      <c r="C541" s="10"/>
      <c r="D541" s="4"/>
      <c r="E541" s="5"/>
      <c r="F541" s="6"/>
      <c r="G541" s="7"/>
      <c r="H541" s="11"/>
      <c r="I541" s="12"/>
      <c r="J541" s="1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x14ac:dyDescent="0.45">
      <c r="A542" s="24"/>
      <c r="B542" s="2"/>
      <c r="C542" s="10"/>
      <c r="D542" s="4"/>
      <c r="E542" s="5"/>
      <c r="F542" s="6"/>
      <c r="G542" s="7"/>
      <c r="H542" s="11"/>
      <c r="I542" s="12"/>
      <c r="J542" s="1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x14ac:dyDescent="0.45">
      <c r="A543" s="24"/>
      <c r="B543" s="2"/>
      <c r="C543" s="10"/>
      <c r="D543" s="4"/>
      <c r="E543" s="5"/>
      <c r="F543" s="6"/>
      <c r="G543" s="7"/>
      <c r="H543" s="11"/>
      <c r="I543" s="12"/>
      <c r="J543" s="1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x14ac:dyDescent="0.45">
      <c r="A544" s="24"/>
      <c r="B544" s="2"/>
      <c r="C544" s="10"/>
      <c r="D544" s="4"/>
      <c r="E544" s="5"/>
      <c r="F544" s="6"/>
      <c r="G544" s="7"/>
      <c r="H544" s="11"/>
      <c r="I544" s="12"/>
      <c r="J544" s="1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x14ac:dyDescent="0.45">
      <c r="A545" s="24"/>
      <c r="B545" s="2"/>
      <c r="C545" s="10"/>
      <c r="D545" s="4"/>
      <c r="E545" s="5"/>
      <c r="F545" s="6"/>
      <c r="G545" s="7"/>
      <c r="H545" s="11"/>
      <c r="I545" s="12"/>
      <c r="J545" s="1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x14ac:dyDescent="0.45">
      <c r="A546" s="24"/>
      <c r="B546" s="2"/>
      <c r="C546" s="10"/>
      <c r="D546" s="4"/>
      <c r="E546" s="5"/>
      <c r="F546" s="6"/>
      <c r="G546" s="7"/>
      <c r="H546" s="11"/>
      <c r="I546" s="12"/>
      <c r="J546" s="1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x14ac:dyDescent="0.45">
      <c r="A547" s="24"/>
      <c r="B547" s="2"/>
      <c r="C547" s="10"/>
      <c r="D547" s="4"/>
      <c r="E547" s="5"/>
      <c r="F547" s="6"/>
      <c r="G547" s="7"/>
      <c r="H547" s="11"/>
      <c r="I547" s="12"/>
      <c r="J547" s="1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x14ac:dyDescent="0.45">
      <c r="A548" s="24"/>
      <c r="B548" s="2"/>
      <c r="C548" s="10"/>
      <c r="D548" s="4"/>
      <c r="E548" s="5"/>
      <c r="F548" s="6"/>
      <c r="G548" s="7"/>
      <c r="H548" s="11"/>
      <c r="I548" s="12"/>
      <c r="J548" s="1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x14ac:dyDescent="0.45">
      <c r="A549" s="24"/>
      <c r="B549" s="2"/>
      <c r="C549" s="10"/>
      <c r="D549" s="4"/>
      <c r="E549" s="5"/>
      <c r="F549" s="6"/>
      <c r="G549" s="7"/>
      <c r="H549" s="11"/>
      <c r="I549" s="12"/>
      <c r="J549" s="1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x14ac:dyDescent="0.45">
      <c r="A550" s="24"/>
      <c r="B550" s="2"/>
      <c r="C550" s="10"/>
      <c r="D550" s="4"/>
      <c r="E550" s="5"/>
      <c r="F550" s="6"/>
      <c r="G550" s="7"/>
      <c r="H550" s="11"/>
      <c r="I550" s="12"/>
      <c r="J550" s="1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x14ac:dyDescent="0.45">
      <c r="A551" s="24"/>
      <c r="B551" s="2"/>
      <c r="C551" s="10"/>
      <c r="D551" s="4"/>
      <c r="E551" s="5"/>
      <c r="F551" s="6"/>
      <c r="G551" s="7"/>
      <c r="H551" s="11"/>
      <c r="I551" s="12"/>
      <c r="J551" s="1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x14ac:dyDescent="0.45">
      <c r="A552" s="24"/>
      <c r="B552" s="2"/>
      <c r="C552" s="10"/>
      <c r="D552" s="4"/>
      <c r="E552" s="5"/>
      <c r="F552" s="6"/>
      <c r="G552" s="7"/>
      <c r="H552" s="11"/>
      <c r="I552" s="12"/>
      <c r="J552" s="1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x14ac:dyDescent="0.45">
      <c r="A553" s="24"/>
      <c r="B553" s="2"/>
      <c r="C553" s="10"/>
      <c r="D553" s="4"/>
      <c r="E553" s="5"/>
      <c r="F553" s="6"/>
      <c r="G553" s="7"/>
      <c r="H553" s="11"/>
      <c r="I553" s="12"/>
      <c r="J553" s="1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x14ac:dyDescent="0.45">
      <c r="A554" s="24"/>
      <c r="B554" s="2"/>
      <c r="C554" s="10"/>
      <c r="D554" s="4"/>
      <c r="E554" s="5"/>
      <c r="F554" s="6"/>
      <c r="G554" s="7"/>
      <c r="H554" s="11"/>
      <c r="I554" s="12"/>
      <c r="J554" s="1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x14ac:dyDescent="0.45">
      <c r="A555" s="24"/>
      <c r="B555" s="2"/>
      <c r="C555" s="10"/>
      <c r="D555" s="4"/>
      <c r="E555" s="5"/>
      <c r="F555" s="6"/>
      <c r="G555" s="7"/>
      <c r="H555" s="11"/>
      <c r="I555" s="12"/>
      <c r="J555" s="1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x14ac:dyDescent="0.45">
      <c r="A556" s="24"/>
      <c r="B556" s="2"/>
      <c r="C556" s="10"/>
      <c r="D556" s="4"/>
      <c r="E556" s="5"/>
      <c r="F556" s="6"/>
      <c r="G556" s="7"/>
      <c r="H556" s="11"/>
      <c r="I556" s="12"/>
      <c r="J556" s="1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x14ac:dyDescent="0.45">
      <c r="A557" s="24"/>
      <c r="B557" s="2"/>
      <c r="C557" s="10"/>
      <c r="D557" s="4"/>
      <c r="E557" s="5"/>
      <c r="F557" s="6"/>
      <c r="G557" s="7"/>
      <c r="H557" s="11"/>
      <c r="I557" s="12"/>
      <c r="J557" s="1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x14ac:dyDescent="0.45">
      <c r="A558" s="24"/>
      <c r="B558" s="2"/>
      <c r="C558" s="10"/>
      <c r="D558" s="4"/>
      <c r="E558" s="5"/>
      <c r="F558" s="6"/>
      <c r="G558" s="7"/>
      <c r="H558" s="11"/>
      <c r="I558" s="12"/>
      <c r="J558" s="1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x14ac:dyDescent="0.45">
      <c r="A559" s="24"/>
      <c r="B559" s="2"/>
      <c r="C559" s="10"/>
      <c r="D559" s="4"/>
      <c r="E559" s="5"/>
      <c r="F559" s="6"/>
      <c r="G559" s="7"/>
      <c r="H559" s="11"/>
      <c r="I559" s="12"/>
      <c r="J559" s="1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x14ac:dyDescent="0.45">
      <c r="A560" s="24"/>
      <c r="B560" s="2"/>
      <c r="C560" s="10"/>
      <c r="D560" s="4"/>
      <c r="E560" s="5"/>
      <c r="F560" s="6"/>
      <c r="G560" s="7"/>
      <c r="H560" s="11"/>
      <c r="I560" s="12"/>
      <c r="J560" s="1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x14ac:dyDescent="0.45">
      <c r="A561" s="24"/>
      <c r="B561" s="2"/>
      <c r="C561" s="10"/>
      <c r="D561" s="4"/>
      <c r="E561" s="5"/>
      <c r="F561" s="6"/>
      <c r="G561" s="7"/>
      <c r="H561" s="11"/>
      <c r="I561" s="12"/>
      <c r="J561" s="1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x14ac:dyDescent="0.45">
      <c r="A562" s="24"/>
      <c r="B562" s="2"/>
      <c r="C562" s="10"/>
      <c r="D562" s="4"/>
      <c r="E562" s="5"/>
      <c r="F562" s="6"/>
      <c r="G562" s="7"/>
      <c r="H562" s="11"/>
      <c r="I562" s="12"/>
      <c r="J562" s="1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x14ac:dyDescent="0.45">
      <c r="A563" s="24"/>
      <c r="B563" s="2"/>
      <c r="C563" s="10"/>
      <c r="D563" s="4"/>
      <c r="E563" s="5"/>
      <c r="F563" s="6"/>
      <c r="G563" s="7"/>
      <c r="H563" s="11"/>
      <c r="I563" s="12"/>
      <c r="J563" s="1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x14ac:dyDescent="0.45">
      <c r="A564" s="24"/>
      <c r="B564" s="2"/>
      <c r="C564" s="10"/>
      <c r="D564" s="4"/>
      <c r="E564" s="5"/>
      <c r="F564" s="6"/>
      <c r="G564" s="7"/>
      <c r="H564" s="11"/>
      <c r="I564" s="12"/>
      <c r="J564" s="1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x14ac:dyDescent="0.45">
      <c r="A565" s="24"/>
      <c r="B565" s="2"/>
      <c r="C565" s="10"/>
      <c r="D565" s="4"/>
      <c r="E565" s="5"/>
      <c r="F565" s="6"/>
      <c r="G565" s="7"/>
      <c r="H565" s="11"/>
      <c r="I565" s="12"/>
      <c r="J565" s="1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x14ac:dyDescent="0.45">
      <c r="A566" s="24"/>
      <c r="B566" s="2"/>
      <c r="C566" s="10"/>
      <c r="D566" s="4"/>
      <c r="E566" s="5"/>
      <c r="F566" s="6"/>
      <c r="G566" s="7"/>
      <c r="H566" s="11"/>
      <c r="I566" s="12"/>
      <c r="J566" s="1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x14ac:dyDescent="0.45">
      <c r="A567" s="24"/>
      <c r="B567" s="2"/>
      <c r="C567" s="10"/>
      <c r="D567" s="4"/>
      <c r="E567" s="5"/>
      <c r="F567" s="6"/>
      <c r="G567" s="7"/>
      <c r="H567" s="11"/>
      <c r="I567" s="12"/>
      <c r="J567" s="1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x14ac:dyDescent="0.45">
      <c r="A568" s="24"/>
      <c r="B568" s="2"/>
      <c r="C568" s="10"/>
      <c r="D568" s="4"/>
      <c r="E568" s="5"/>
      <c r="F568" s="6"/>
      <c r="G568" s="7"/>
      <c r="H568" s="11"/>
      <c r="I568" s="12"/>
      <c r="J568" s="1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x14ac:dyDescent="0.45">
      <c r="A569" s="24"/>
      <c r="B569" s="2"/>
      <c r="C569" s="10"/>
      <c r="D569" s="4"/>
      <c r="E569" s="5"/>
      <c r="F569" s="6"/>
      <c r="G569" s="7"/>
      <c r="H569" s="11"/>
      <c r="I569" s="12"/>
      <c r="J569" s="1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x14ac:dyDescent="0.45">
      <c r="A570" s="24"/>
      <c r="B570" s="2"/>
      <c r="C570" s="10"/>
      <c r="D570" s="4"/>
      <c r="E570" s="5"/>
      <c r="F570" s="6"/>
      <c r="G570" s="7"/>
      <c r="H570" s="11"/>
      <c r="I570" s="12"/>
      <c r="J570" s="1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x14ac:dyDescent="0.45">
      <c r="A571" s="24"/>
      <c r="B571" s="2"/>
      <c r="C571" s="10"/>
      <c r="D571" s="4"/>
      <c r="E571" s="5"/>
      <c r="F571" s="6"/>
      <c r="G571" s="7"/>
      <c r="H571" s="11"/>
      <c r="I571" s="12"/>
      <c r="J571" s="1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x14ac:dyDescent="0.45">
      <c r="A572" s="24"/>
      <c r="B572" s="2"/>
      <c r="C572" s="10"/>
      <c r="D572" s="4"/>
      <c r="E572" s="5"/>
      <c r="F572" s="6"/>
      <c r="G572" s="7"/>
      <c r="H572" s="11"/>
      <c r="I572" s="12"/>
      <c r="J572" s="1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x14ac:dyDescent="0.45">
      <c r="A573" s="24"/>
      <c r="B573" s="2"/>
      <c r="C573" s="10"/>
      <c r="D573" s="4"/>
      <c r="E573" s="5"/>
      <c r="F573" s="6"/>
      <c r="G573" s="7"/>
      <c r="H573" s="11"/>
      <c r="I573" s="12"/>
      <c r="J573" s="1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x14ac:dyDescent="0.45">
      <c r="A574" s="24"/>
      <c r="B574" s="2"/>
      <c r="C574" s="10"/>
      <c r="D574" s="4"/>
      <c r="E574" s="5"/>
      <c r="F574" s="6"/>
      <c r="G574" s="7"/>
      <c r="H574" s="11"/>
      <c r="I574" s="12"/>
      <c r="J574" s="1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x14ac:dyDescent="0.45">
      <c r="A575" s="24"/>
      <c r="B575" s="2"/>
      <c r="C575" s="10"/>
      <c r="D575" s="4"/>
      <c r="E575" s="5"/>
      <c r="F575" s="6"/>
      <c r="G575" s="7"/>
      <c r="H575" s="11"/>
      <c r="I575" s="12"/>
      <c r="J575" s="1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x14ac:dyDescent="0.45">
      <c r="A576" s="24"/>
      <c r="B576" s="2"/>
      <c r="C576" s="10"/>
      <c r="D576" s="4"/>
      <c r="E576" s="5"/>
      <c r="F576" s="6"/>
      <c r="G576" s="7"/>
      <c r="H576" s="11"/>
      <c r="I576" s="12"/>
      <c r="J576" s="1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x14ac:dyDescent="0.45">
      <c r="A577" s="24"/>
      <c r="B577" s="2"/>
      <c r="C577" s="10"/>
      <c r="D577" s="4"/>
      <c r="E577" s="5"/>
      <c r="F577" s="6"/>
      <c r="G577" s="7"/>
      <c r="H577" s="11"/>
      <c r="I577" s="12"/>
      <c r="J577" s="1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x14ac:dyDescent="0.45">
      <c r="A578" s="24"/>
      <c r="B578" s="2"/>
      <c r="C578" s="10"/>
      <c r="D578" s="4"/>
      <c r="E578" s="5"/>
      <c r="F578" s="6"/>
      <c r="G578" s="7"/>
      <c r="H578" s="11"/>
      <c r="I578" s="12"/>
      <c r="J578" s="1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x14ac:dyDescent="0.45">
      <c r="A579" s="24"/>
      <c r="B579" s="2"/>
      <c r="C579" s="10"/>
      <c r="D579" s="4"/>
      <c r="E579" s="5"/>
      <c r="F579" s="6"/>
      <c r="G579" s="7"/>
      <c r="H579" s="11"/>
      <c r="I579" s="12"/>
      <c r="J579" s="1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x14ac:dyDescent="0.45">
      <c r="A580" s="24"/>
      <c r="B580" s="2"/>
      <c r="C580" s="10"/>
      <c r="D580" s="4"/>
      <c r="E580" s="5"/>
      <c r="F580" s="6"/>
      <c r="G580" s="7"/>
      <c r="H580" s="11"/>
      <c r="I580" s="12"/>
      <c r="J580" s="1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x14ac:dyDescent="0.45">
      <c r="A581" s="24"/>
      <c r="B581" s="2"/>
      <c r="C581" s="10"/>
      <c r="D581" s="4"/>
      <c r="E581" s="5"/>
      <c r="F581" s="6"/>
      <c r="G581" s="7"/>
      <c r="H581" s="11"/>
      <c r="I581" s="12"/>
      <c r="J581" s="1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x14ac:dyDescent="0.45">
      <c r="A582" s="24"/>
      <c r="B582" s="2"/>
      <c r="C582" s="10"/>
      <c r="D582" s="4"/>
      <c r="E582" s="5"/>
      <c r="F582" s="6"/>
      <c r="G582" s="7"/>
      <c r="H582" s="11"/>
      <c r="I582" s="12"/>
      <c r="J582" s="1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x14ac:dyDescent="0.45">
      <c r="A583" s="24"/>
      <c r="B583" s="2"/>
      <c r="C583" s="10"/>
      <c r="D583" s="4"/>
      <c r="E583" s="5"/>
      <c r="F583" s="6"/>
      <c r="G583" s="7"/>
      <c r="H583" s="11"/>
      <c r="I583" s="12"/>
      <c r="J583" s="1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x14ac:dyDescent="0.45">
      <c r="A584" s="24"/>
      <c r="B584" s="2"/>
      <c r="C584" s="10"/>
      <c r="D584" s="4"/>
      <c r="E584" s="5"/>
      <c r="F584" s="6"/>
      <c r="G584" s="7"/>
      <c r="H584" s="11"/>
      <c r="I584" s="12"/>
      <c r="J584" s="1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x14ac:dyDescent="0.45">
      <c r="A585" s="24"/>
      <c r="B585" s="2"/>
      <c r="C585" s="10"/>
      <c r="D585" s="4"/>
      <c r="E585" s="5"/>
      <c r="F585" s="6"/>
      <c r="G585" s="7"/>
      <c r="H585" s="11"/>
      <c r="I585" s="12"/>
      <c r="J585" s="1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x14ac:dyDescent="0.45">
      <c r="A586" s="24"/>
      <c r="B586" s="2"/>
      <c r="C586" s="10"/>
      <c r="D586" s="4"/>
      <c r="E586" s="5"/>
      <c r="F586" s="6"/>
      <c r="G586" s="7"/>
      <c r="H586" s="11"/>
      <c r="I586" s="12"/>
      <c r="J586" s="1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x14ac:dyDescent="0.45">
      <c r="A587" s="24"/>
      <c r="B587" s="2"/>
      <c r="C587" s="10"/>
      <c r="D587" s="4"/>
      <c r="E587" s="5"/>
      <c r="F587" s="6"/>
      <c r="G587" s="7"/>
      <c r="H587" s="11"/>
      <c r="I587" s="12"/>
      <c r="J587" s="1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x14ac:dyDescent="0.45">
      <c r="A588" s="24"/>
      <c r="B588" s="2"/>
      <c r="C588" s="10"/>
      <c r="D588" s="4"/>
      <c r="E588" s="5"/>
      <c r="F588" s="6"/>
      <c r="G588" s="7"/>
      <c r="H588" s="11"/>
      <c r="I588" s="12"/>
      <c r="J588" s="1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x14ac:dyDescent="0.45">
      <c r="A589" s="24"/>
      <c r="B589" s="2"/>
      <c r="C589" s="10"/>
      <c r="D589" s="4"/>
      <c r="E589" s="5"/>
      <c r="F589" s="6"/>
      <c r="G589" s="7"/>
      <c r="H589" s="11"/>
      <c r="I589" s="12"/>
      <c r="J589" s="1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x14ac:dyDescent="0.45">
      <c r="A590" s="24"/>
      <c r="B590" s="2"/>
      <c r="C590" s="10"/>
      <c r="D590" s="4"/>
      <c r="E590" s="5"/>
      <c r="F590" s="6"/>
      <c r="G590" s="7"/>
      <c r="H590" s="11"/>
      <c r="I590" s="12"/>
      <c r="J590" s="1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x14ac:dyDescent="0.45">
      <c r="A591" s="24"/>
      <c r="B591" s="2"/>
      <c r="C591" s="10"/>
      <c r="D591" s="4"/>
      <c r="E591" s="5"/>
      <c r="F591" s="6"/>
      <c r="G591" s="7"/>
      <c r="H591" s="11"/>
      <c r="I591" s="12"/>
      <c r="J591" s="1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x14ac:dyDescent="0.45">
      <c r="A592" s="24"/>
      <c r="B592" s="2"/>
      <c r="C592" s="10"/>
      <c r="D592" s="4"/>
      <c r="E592" s="5"/>
      <c r="F592" s="6"/>
      <c r="G592" s="7"/>
      <c r="H592" s="11"/>
      <c r="I592" s="12"/>
      <c r="J592" s="1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x14ac:dyDescent="0.45">
      <c r="A593" s="24"/>
      <c r="B593" s="2"/>
      <c r="C593" s="10"/>
      <c r="D593" s="4"/>
      <c r="E593" s="5"/>
      <c r="F593" s="6"/>
      <c r="G593" s="7"/>
      <c r="H593" s="11"/>
      <c r="I593" s="12"/>
      <c r="J593" s="1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x14ac:dyDescent="0.45">
      <c r="A594" s="24"/>
      <c r="B594" s="2"/>
      <c r="C594" s="10"/>
      <c r="D594" s="4"/>
      <c r="E594" s="5"/>
      <c r="F594" s="6"/>
      <c r="G594" s="7"/>
      <c r="H594" s="11"/>
      <c r="I594" s="12"/>
      <c r="J594" s="1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x14ac:dyDescent="0.45">
      <c r="A595" s="24"/>
      <c r="B595" s="2"/>
      <c r="C595" s="10"/>
      <c r="D595" s="4"/>
      <c r="E595" s="5"/>
      <c r="F595" s="6"/>
      <c r="G595" s="7"/>
      <c r="H595" s="11"/>
      <c r="I595" s="12"/>
      <c r="J595" s="1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x14ac:dyDescent="0.45">
      <c r="A596" s="24"/>
      <c r="B596" s="2"/>
      <c r="C596" s="10"/>
      <c r="D596" s="4"/>
      <c r="E596" s="5"/>
      <c r="F596" s="6"/>
      <c r="G596" s="7"/>
      <c r="H596" s="11"/>
      <c r="I596" s="12"/>
      <c r="J596" s="1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x14ac:dyDescent="0.45">
      <c r="A597" s="24"/>
      <c r="B597" s="2"/>
      <c r="C597" s="10"/>
      <c r="D597" s="4"/>
      <c r="E597" s="5"/>
      <c r="F597" s="6"/>
      <c r="G597" s="7"/>
      <c r="H597" s="11"/>
      <c r="I597" s="12"/>
      <c r="J597" s="1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x14ac:dyDescent="0.45">
      <c r="A598" s="24"/>
      <c r="B598" s="2"/>
      <c r="C598" s="10"/>
      <c r="D598" s="4"/>
      <c r="E598" s="5"/>
      <c r="F598" s="6"/>
      <c r="G598" s="7"/>
      <c r="H598" s="11"/>
      <c r="I598" s="12"/>
      <c r="J598" s="1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x14ac:dyDescent="0.45">
      <c r="A599" s="24"/>
      <c r="B599" s="2"/>
      <c r="C599" s="10"/>
      <c r="D599" s="4"/>
      <c r="E599" s="5"/>
      <c r="F599" s="6"/>
      <c r="G599" s="7"/>
      <c r="H599" s="11"/>
      <c r="I599" s="12"/>
      <c r="J599" s="1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x14ac:dyDescent="0.45">
      <c r="A600" s="24"/>
      <c r="B600" s="2"/>
      <c r="C600" s="10"/>
      <c r="D600" s="4"/>
      <c r="E600" s="5"/>
      <c r="F600" s="6"/>
      <c r="G600" s="7"/>
      <c r="H600" s="11"/>
      <c r="I600" s="12"/>
      <c r="J600" s="1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x14ac:dyDescent="0.45">
      <c r="A601" s="24"/>
      <c r="B601" s="2"/>
      <c r="C601" s="10"/>
      <c r="D601" s="4"/>
      <c r="E601" s="5"/>
      <c r="F601" s="6"/>
      <c r="G601" s="7"/>
      <c r="H601" s="11"/>
      <c r="I601" s="12"/>
      <c r="J601" s="1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x14ac:dyDescent="0.45">
      <c r="A602" s="24"/>
      <c r="B602" s="2"/>
      <c r="C602" s="10"/>
      <c r="D602" s="4"/>
      <c r="E602" s="5"/>
      <c r="F602" s="6"/>
      <c r="G602" s="7"/>
      <c r="H602" s="11"/>
      <c r="I602" s="12"/>
      <c r="J602" s="1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x14ac:dyDescent="0.45">
      <c r="A603" s="24"/>
      <c r="B603" s="2"/>
      <c r="C603" s="10"/>
      <c r="D603" s="4"/>
      <c r="E603" s="5"/>
      <c r="F603" s="6"/>
      <c r="G603" s="7"/>
      <c r="H603" s="11"/>
      <c r="I603" s="12"/>
      <c r="J603" s="1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x14ac:dyDescent="0.45">
      <c r="A604" s="24"/>
      <c r="B604" s="2"/>
      <c r="C604" s="10"/>
      <c r="D604" s="4"/>
      <c r="E604" s="5"/>
      <c r="F604" s="6"/>
      <c r="G604" s="7"/>
      <c r="H604" s="11"/>
      <c r="I604" s="12"/>
      <c r="J604" s="1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x14ac:dyDescent="0.45">
      <c r="A605" s="24"/>
      <c r="B605" s="2"/>
      <c r="C605" s="10"/>
      <c r="D605" s="4"/>
      <c r="E605" s="5"/>
      <c r="F605" s="6"/>
      <c r="G605" s="7"/>
      <c r="H605" s="11"/>
      <c r="I605" s="12"/>
      <c r="J605" s="1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x14ac:dyDescent="0.45">
      <c r="A606" s="24"/>
      <c r="B606" s="2"/>
      <c r="C606" s="10"/>
      <c r="D606" s="4"/>
      <c r="E606" s="5"/>
      <c r="F606" s="6"/>
      <c r="G606" s="7"/>
      <c r="H606" s="11"/>
      <c r="I606" s="12"/>
      <c r="J606" s="1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x14ac:dyDescent="0.45">
      <c r="A607" s="24"/>
      <c r="B607" s="2"/>
      <c r="C607" s="10"/>
      <c r="D607" s="4"/>
      <c r="E607" s="5"/>
      <c r="F607" s="6"/>
      <c r="G607" s="7"/>
      <c r="H607" s="11"/>
      <c r="I607" s="12"/>
      <c r="J607" s="1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x14ac:dyDescent="0.45">
      <c r="A608" s="24"/>
      <c r="B608" s="2"/>
      <c r="C608" s="10"/>
      <c r="D608" s="4"/>
      <c r="E608" s="5"/>
      <c r="F608" s="6"/>
      <c r="G608" s="7"/>
      <c r="H608" s="11"/>
      <c r="I608" s="12"/>
      <c r="J608" s="1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x14ac:dyDescent="0.45">
      <c r="A609" s="24"/>
      <c r="B609" s="2"/>
      <c r="C609" s="10"/>
      <c r="D609" s="4"/>
      <c r="E609" s="5"/>
      <c r="F609" s="6"/>
      <c r="G609" s="7"/>
      <c r="H609" s="11"/>
      <c r="I609" s="12"/>
      <c r="J609" s="1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x14ac:dyDescent="0.45">
      <c r="A610" s="24"/>
      <c r="B610" s="2"/>
      <c r="C610" s="10"/>
      <c r="D610" s="4"/>
      <c r="E610" s="5"/>
      <c r="F610" s="6"/>
      <c r="G610" s="7"/>
      <c r="H610" s="11"/>
      <c r="I610" s="12"/>
      <c r="J610" s="1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x14ac:dyDescent="0.45">
      <c r="A611" s="24"/>
      <c r="B611" s="2"/>
      <c r="C611" s="10"/>
      <c r="D611" s="4"/>
      <c r="E611" s="5"/>
      <c r="F611" s="6"/>
      <c r="G611" s="7"/>
      <c r="H611" s="11"/>
      <c r="I611" s="12"/>
      <c r="J611" s="1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x14ac:dyDescent="0.45">
      <c r="A612" s="24"/>
      <c r="B612" s="2"/>
      <c r="C612" s="10"/>
      <c r="D612" s="4"/>
      <c r="E612" s="5"/>
      <c r="F612" s="6"/>
      <c r="G612" s="7"/>
      <c r="H612" s="11"/>
      <c r="I612" s="12"/>
      <c r="J612" s="1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x14ac:dyDescent="0.45">
      <c r="A613" s="24"/>
      <c r="B613" s="2"/>
      <c r="C613" s="10"/>
      <c r="D613" s="4"/>
      <c r="E613" s="5"/>
      <c r="F613" s="6"/>
      <c r="G613" s="7"/>
      <c r="H613" s="11"/>
      <c r="I613" s="12"/>
      <c r="J613" s="1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x14ac:dyDescent="0.45">
      <c r="A614" s="24"/>
      <c r="B614" s="2"/>
      <c r="C614" s="10"/>
      <c r="D614" s="4"/>
      <c r="E614" s="5"/>
      <c r="F614" s="6"/>
      <c r="G614" s="7"/>
      <c r="H614" s="11"/>
      <c r="I614" s="12"/>
      <c r="J614" s="1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x14ac:dyDescent="0.45">
      <c r="A615" s="24"/>
      <c r="B615" s="2"/>
      <c r="C615" s="10"/>
      <c r="D615" s="4"/>
      <c r="E615" s="5"/>
      <c r="F615" s="6"/>
      <c r="G615" s="7"/>
      <c r="H615" s="11"/>
      <c r="I615" s="12"/>
      <c r="J615" s="1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x14ac:dyDescent="0.45">
      <c r="A616" s="24"/>
      <c r="B616" s="2"/>
      <c r="C616" s="10"/>
      <c r="D616" s="4"/>
      <c r="E616" s="5"/>
      <c r="F616" s="6"/>
      <c r="G616" s="7"/>
      <c r="H616" s="11"/>
      <c r="I616" s="12"/>
      <c r="J616" s="1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x14ac:dyDescent="0.45">
      <c r="A617" s="24"/>
      <c r="B617" s="2"/>
      <c r="C617" s="10"/>
      <c r="D617" s="4"/>
      <c r="E617" s="5"/>
      <c r="F617" s="6"/>
      <c r="G617" s="7"/>
      <c r="H617" s="11"/>
      <c r="I617" s="12"/>
      <c r="J617" s="1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x14ac:dyDescent="0.45">
      <c r="A618" s="24"/>
      <c r="B618" s="2"/>
      <c r="C618" s="10"/>
      <c r="D618" s="4"/>
      <c r="E618" s="5"/>
      <c r="F618" s="6"/>
      <c r="G618" s="7"/>
      <c r="H618" s="11"/>
      <c r="I618" s="12"/>
      <c r="J618" s="1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x14ac:dyDescent="0.45">
      <c r="A619" s="24"/>
      <c r="B619" s="2"/>
      <c r="C619" s="10"/>
      <c r="D619" s="4"/>
      <c r="E619" s="5"/>
      <c r="F619" s="6"/>
      <c r="G619" s="7"/>
      <c r="H619" s="11"/>
      <c r="I619" s="12"/>
      <c r="J619" s="1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x14ac:dyDescent="0.45">
      <c r="A620" s="24"/>
      <c r="B620" s="2"/>
      <c r="C620" s="10"/>
      <c r="D620" s="4"/>
      <c r="E620" s="5"/>
      <c r="F620" s="6"/>
      <c r="G620" s="7"/>
      <c r="H620" s="11"/>
      <c r="I620" s="12"/>
      <c r="J620" s="1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x14ac:dyDescent="0.45">
      <c r="A621" s="24"/>
      <c r="B621" s="2"/>
      <c r="C621" s="10"/>
      <c r="D621" s="4"/>
      <c r="E621" s="5"/>
      <c r="F621" s="6"/>
      <c r="G621" s="7"/>
      <c r="H621" s="11"/>
      <c r="I621" s="12"/>
      <c r="J621" s="1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x14ac:dyDescent="0.45">
      <c r="A622" s="24"/>
      <c r="B622" s="2"/>
      <c r="C622" s="10"/>
      <c r="D622" s="4"/>
      <c r="E622" s="5"/>
      <c r="F622" s="6"/>
      <c r="G622" s="7"/>
      <c r="H622" s="11"/>
      <c r="I622" s="12"/>
      <c r="J622" s="1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x14ac:dyDescent="0.45">
      <c r="A623" s="24"/>
      <c r="B623" s="2"/>
      <c r="C623" s="10"/>
      <c r="D623" s="4"/>
      <c r="E623" s="5"/>
      <c r="F623" s="6"/>
      <c r="G623" s="7"/>
      <c r="H623" s="11"/>
      <c r="I623" s="12"/>
      <c r="J623" s="1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x14ac:dyDescent="0.45">
      <c r="A624" s="24"/>
      <c r="B624" s="2"/>
      <c r="C624" s="10"/>
      <c r="D624" s="4"/>
      <c r="E624" s="5"/>
      <c r="F624" s="6"/>
      <c r="G624" s="7"/>
      <c r="H624" s="11"/>
      <c r="I624" s="12"/>
      <c r="J624" s="1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x14ac:dyDescent="0.45">
      <c r="A625" s="24"/>
      <c r="B625" s="2"/>
      <c r="C625" s="10"/>
      <c r="D625" s="4"/>
      <c r="E625" s="5"/>
      <c r="F625" s="6"/>
      <c r="G625" s="7"/>
      <c r="H625" s="11"/>
      <c r="I625" s="12"/>
      <c r="J625" s="1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x14ac:dyDescent="0.45">
      <c r="A626" s="24"/>
      <c r="B626" s="2"/>
      <c r="C626" s="10"/>
      <c r="D626" s="4"/>
      <c r="E626" s="5"/>
      <c r="F626" s="6"/>
      <c r="G626" s="7"/>
      <c r="H626" s="11"/>
      <c r="I626" s="12"/>
      <c r="J626" s="1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x14ac:dyDescent="0.45">
      <c r="A627" s="24"/>
      <c r="B627" s="2"/>
      <c r="C627" s="10"/>
      <c r="D627" s="4"/>
      <c r="E627" s="5"/>
      <c r="F627" s="6"/>
      <c r="G627" s="7"/>
      <c r="H627" s="11"/>
      <c r="I627" s="12"/>
      <c r="J627" s="1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x14ac:dyDescent="0.45">
      <c r="A628" s="24"/>
      <c r="B628" s="2"/>
      <c r="C628" s="10"/>
      <c r="D628" s="4"/>
      <c r="E628" s="5"/>
      <c r="F628" s="6"/>
      <c r="G628" s="7"/>
      <c r="H628" s="11"/>
      <c r="I628" s="12"/>
      <c r="J628" s="1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x14ac:dyDescent="0.45">
      <c r="A629" s="24"/>
      <c r="B629" s="2"/>
      <c r="C629" s="10"/>
      <c r="D629" s="4"/>
      <c r="E629" s="5"/>
      <c r="F629" s="6"/>
      <c r="G629" s="7"/>
      <c r="H629" s="11"/>
      <c r="I629" s="12"/>
      <c r="J629" s="1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x14ac:dyDescent="0.45">
      <c r="A630" s="24"/>
      <c r="B630" s="2"/>
      <c r="C630" s="10"/>
      <c r="D630" s="4"/>
      <c r="E630" s="5"/>
      <c r="F630" s="6"/>
      <c r="G630" s="7"/>
      <c r="H630" s="11"/>
      <c r="I630" s="12"/>
      <c r="J630" s="1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x14ac:dyDescent="0.45">
      <c r="A631" s="24"/>
      <c r="B631" s="2"/>
      <c r="C631" s="10"/>
      <c r="D631" s="4"/>
      <c r="E631" s="5"/>
      <c r="F631" s="6"/>
      <c r="G631" s="7"/>
      <c r="H631" s="11"/>
      <c r="I631" s="12"/>
      <c r="J631" s="1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x14ac:dyDescent="0.45">
      <c r="A632" s="24"/>
      <c r="B632" s="2"/>
      <c r="C632" s="10"/>
      <c r="D632" s="4"/>
      <c r="E632" s="5"/>
      <c r="F632" s="6"/>
      <c r="G632" s="7"/>
      <c r="H632" s="11"/>
      <c r="I632" s="12"/>
      <c r="J632" s="1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x14ac:dyDescent="0.45">
      <c r="A633" s="24"/>
      <c r="B633" s="2"/>
      <c r="C633" s="10"/>
      <c r="D633" s="4"/>
      <c r="E633" s="5"/>
      <c r="F633" s="6"/>
      <c r="G633" s="7"/>
      <c r="H633" s="11"/>
      <c r="I633" s="12"/>
      <c r="J633" s="1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x14ac:dyDescent="0.45">
      <c r="A634" s="24"/>
      <c r="B634" s="2"/>
      <c r="C634" s="10"/>
      <c r="D634" s="4"/>
      <c r="E634" s="5"/>
      <c r="F634" s="6"/>
      <c r="G634" s="7"/>
      <c r="H634" s="11"/>
      <c r="I634" s="12"/>
      <c r="J634" s="1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x14ac:dyDescent="0.45">
      <c r="A635" s="24"/>
      <c r="B635" s="2"/>
      <c r="C635" s="10"/>
      <c r="D635" s="4"/>
      <c r="E635" s="5"/>
      <c r="F635" s="6"/>
      <c r="G635" s="7"/>
      <c r="H635" s="11"/>
      <c r="I635" s="12"/>
      <c r="J635" s="1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x14ac:dyDescent="0.45">
      <c r="A636" s="24"/>
      <c r="B636" s="2"/>
      <c r="C636" s="10"/>
      <c r="D636" s="4"/>
      <c r="E636" s="5"/>
      <c r="F636" s="6"/>
      <c r="G636" s="7"/>
      <c r="H636" s="11"/>
      <c r="I636" s="12"/>
      <c r="J636" s="1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x14ac:dyDescent="0.45">
      <c r="A637" s="24"/>
      <c r="B637" s="2"/>
      <c r="C637" s="10"/>
      <c r="D637" s="4"/>
      <c r="E637" s="5"/>
      <c r="F637" s="6"/>
      <c r="G637" s="7"/>
      <c r="H637" s="11"/>
      <c r="I637" s="12"/>
      <c r="J637" s="1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x14ac:dyDescent="0.45">
      <c r="A638" s="24"/>
      <c r="B638" s="2"/>
      <c r="C638" s="10"/>
      <c r="D638" s="4"/>
      <c r="E638" s="5"/>
      <c r="F638" s="6"/>
      <c r="G638" s="7"/>
      <c r="H638" s="11"/>
      <c r="I638" s="12"/>
      <c r="J638" s="1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x14ac:dyDescent="0.45">
      <c r="A639" s="24"/>
      <c r="B639" s="2"/>
      <c r="C639" s="10"/>
      <c r="D639" s="4"/>
      <c r="E639" s="5"/>
      <c r="F639" s="6"/>
      <c r="G639" s="7"/>
      <c r="H639" s="11"/>
      <c r="I639" s="12"/>
      <c r="J639" s="1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x14ac:dyDescent="0.45">
      <c r="A640" s="24"/>
      <c r="B640" s="2"/>
      <c r="C640" s="10"/>
      <c r="D640" s="4"/>
      <c r="E640" s="5"/>
      <c r="F640" s="6"/>
      <c r="G640" s="7"/>
      <c r="H640" s="11"/>
      <c r="I640" s="12"/>
      <c r="J640" s="1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x14ac:dyDescent="0.45">
      <c r="A641" s="24"/>
      <c r="B641" s="2"/>
      <c r="C641" s="10"/>
      <c r="D641" s="4"/>
      <c r="E641" s="5"/>
      <c r="F641" s="6"/>
      <c r="G641" s="7"/>
      <c r="H641" s="11"/>
      <c r="I641" s="12"/>
      <c r="J641" s="1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x14ac:dyDescent="0.45">
      <c r="A642" s="24"/>
      <c r="B642" s="2"/>
      <c r="C642" s="10"/>
      <c r="D642" s="4"/>
      <c r="E642" s="5"/>
      <c r="F642" s="6"/>
      <c r="G642" s="7"/>
      <c r="H642" s="11"/>
      <c r="I642" s="12"/>
      <c r="J642" s="1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x14ac:dyDescent="0.45">
      <c r="A643" s="24"/>
      <c r="B643" s="2"/>
      <c r="C643" s="10"/>
      <c r="D643" s="4"/>
      <c r="E643" s="5"/>
      <c r="F643" s="6"/>
      <c r="G643" s="7"/>
      <c r="H643" s="11"/>
      <c r="I643" s="12"/>
      <c r="J643" s="1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x14ac:dyDescent="0.45">
      <c r="A644" s="24"/>
      <c r="B644" s="2"/>
      <c r="C644" s="10"/>
      <c r="D644" s="4"/>
      <c r="E644" s="5"/>
      <c r="F644" s="6"/>
      <c r="G644" s="7"/>
      <c r="H644" s="11"/>
      <c r="I644" s="12"/>
      <c r="J644" s="1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x14ac:dyDescent="0.45">
      <c r="A645" s="24"/>
      <c r="B645" s="2"/>
      <c r="C645" s="10"/>
      <c r="D645" s="4"/>
      <c r="E645" s="5"/>
      <c r="F645" s="6"/>
      <c r="G645" s="7"/>
      <c r="H645" s="11"/>
      <c r="I645" s="12"/>
      <c r="J645" s="1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x14ac:dyDescent="0.45">
      <c r="A646" s="24"/>
      <c r="B646" s="2"/>
      <c r="C646" s="10"/>
      <c r="D646" s="4"/>
      <c r="E646" s="5"/>
      <c r="F646" s="6"/>
      <c r="G646" s="7"/>
      <c r="H646" s="11"/>
      <c r="I646" s="12"/>
      <c r="J646" s="1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x14ac:dyDescent="0.45">
      <c r="A647" s="24"/>
      <c r="B647" s="2"/>
      <c r="C647" s="10"/>
      <c r="D647" s="4"/>
      <c r="E647" s="5"/>
      <c r="F647" s="6"/>
      <c r="G647" s="7"/>
      <c r="H647" s="11"/>
      <c r="I647" s="12"/>
      <c r="J647" s="1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x14ac:dyDescent="0.45">
      <c r="A648" s="24"/>
      <c r="B648" s="2"/>
      <c r="C648" s="10"/>
      <c r="D648" s="4"/>
      <c r="E648" s="5"/>
      <c r="F648" s="6"/>
      <c r="G648" s="7"/>
      <c r="H648" s="11"/>
      <c r="I648" s="12"/>
      <c r="J648" s="1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x14ac:dyDescent="0.45">
      <c r="A649" s="24"/>
      <c r="B649" s="2"/>
      <c r="C649" s="10"/>
      <c r="D649" s="4"/>
      <c r="E649" s="5"/>
      <c r="F649" s="6"/>
      <c r="G649" s="7"/>
      <c r="H649" s="11"/>
      <c r="I649" s="12"/>
      <c r="J649" s="1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x14ac:dyDescent="0.45">
      <c r="A650" s="24"/>
      <c r="B650" s="2"/>
      <c r="C650" s="10"/>
      <c r="D650" s="4"/>
      <c r="E650" s="5"/>
      <c r="F650" s="6"/>
      <c r="G650" s="7"/>
      <c r="H650" s="11"/>
      <c r="I650" s="12"/>
      <c r="J650" s="1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x14ac:dyDescent="0.45">
      <c r="A651" s="24"/>
      <c r="B651" s="2"/>
      <c r="C651" s="10"/>
      <c r="D651" s="4"/>
      <c r="E651" s="5"/>
      <c r="F651" s="6"/>
      <c r="G651" s="7"/>
      <c r="H651" s="11"/>
      <c r="I651" s="12"/>
      <c r="J651" s="1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x14ac:dyDescent="0.45">
      <c r="A652" s="24"/>
      <c r="B652" s="2"/>
      <c r="C652" s="10"/>
      <c r="D652" s="4"/>
      <c r="E652" s="5"/>
      <c r="F652" s="6"/>
      <c r="G652" s="7"/>
      <c r="H652" s="11"/>
      <c r="I652" s="12"/>
      <c r="J652" s="1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x14ac:dyDescent="0.45">
      <c r="A653" s="24"/>
      <c r="B653" s="2"/>
      <c r="C653" s="10"/>
      <c r="D653" s="4"/>
      <c r="E653" s="5"/>
      <c r="F653" s="6"/>
      <c r="G653" s="7"/>
      <c r="H653" s="11"/>
      <c r="I653" s="12"/>
      <c r="J653" s="1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x14ac:dyDescent="0.45">
      <c r="A654" s="24"/>
      <c r="B654" s="2"/>
      <c r="C654" s="10"/>
      <c r="D654" s="4"/>
      <c r="E654" s="5"/>
      <c r="F654" s="6"/>
      <c r="G654" s="7"/>
      <c r="H654" s="11"/>
      <c r="I654" s="12"/>
      <c r="J654" s="1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x14ac:dyDescent="0.45">
      <c r="A655" s="24"/>
      <c r="B655" s="2"/>
      <c r="C655" s="10"/>
      <c r="D655" s="4"/>
      <c r="E655" s="5"/>
      <c r="F655" s="6"/>
      <c r="G655" s="7"/>
      <c r="H655" s="11"/>
      <c r="I655" s="12"/>
      <c r="J655" s="1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x14ac:dyDescent="0.45">
      <c r="A656" s="24"/>
      <c r="B656" s="2"/>
      <c r="C656" s="10"/>
      <c r="D656" s="4"/>
      <c r="E656" s="5"/>
      <c r="F656" s="6"/>
      <c r="G656" s="7"/>
      <c r="H656" s="11"/>
      <c r="I656" s="12"/>
      <c r="J656" s="1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x14ac:dyDescent="0.45">
      <c r="A657" s="24"/>
      <c r="B657" s="2"/>
      <c r="C657" s="10"/>
      <c r="D657" s="4"/>
      <c r="E657" s="5"/>
      <c r="F657" s="6"/>
      <c r="G657" s="7"/>
      <c r="H657" s="11"/>
      <c r="I657" s="12"/>
      <c r="J657" s="1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x14ac:dyDescent="0.45">
      <c r="A658" s="24"/>
      <c r="B658" s="2"/>
      <c r="C658" s="10"/>
      <c r="D658" s="4"/>
      <c r="E658" s="5"/>
      <c r="F658" s="6"/>
      <c r="G658" s="7"/>
      <c r="H658" s="11"/>
      <c r="I658" s="12"/>
      <c r="J658" s="1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x14ac:dyDescent="0.45">
      <c r="A659" s="24"/>
      <c r="B659" s="2"/>
      <c r="C659" s="10"/>
      <c r="D659" s="4"/>
      <c r="E659" s="5"/>
      <c r="F659" s="6"/>
      <c r="G659" s="7"/>
      <c r="H659" s="11"/>
      <c r="I659" s="12"/>
      <c r="J659" s="1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x14ac:dyDescent="0.45">
      <c r="A660" s="24"/>
      <c r="B660" s="2"/>
      <c r="C660" s="10"/>
      <c r="D660" s="4"/>
      <c r="E660" s="5"/>
      <c r="F660" s="6"/>
      <c r="G660" s="7"/>
      <c r="H660" s="11"/>
      <c r="I660" s="12"/>
      <c r="J660" s="1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x14ac:dyDescent="0.45">
      <c r="A661" s="24"/>
      <c r="B661" s="2"/>
      <c r="C661" s="10"/>
      <c r="D661" s="4"/>
      <c r="E661" s="5"/>
      <c r="F661" s="6"/>
      <c r="G661" s="7"/>
      <c r="H661" s="11"/>
      <c r="I661" s="12"/>
      <c r="J661" s="1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x14ac:dyDescent="0.45">
      <c r="A662" s="24"/>
      <c r="B662" s="2"/>
      <c r="C662" s="10"/>
      <c r="D662" s="4"/>
      <c r="E662" s="5"/>
      <c r="F662" s="6"/>
      <c r="G662" s="7"/>
      <c r="H662" s="11"/>
      <c r="I662" s="12"/>
      <c r="J662" s="1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x14ac:dyDescent="0.45">
      <c r="A663" s="24"/>
      <c r="B663" s="2"/>
      <c r="C663" s="10"/>
      <c r="D663" s="4"/>
      <c r="E663" s="5"/>
      <c r="F663" s="6"/>
      <c r="G663" s="7"/>
      <c r="H663" s="11"/>
      <c r="I663" s="12"/>
      <c r="J663" s="1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x14ac:dyDescent="0.45">
      <c r="A664" s="24"/>
      <c r="B664" s="2"/>
      <c r="C664" s="10"/>
      <c r="D664" s="4"/>
      <c r="E664" s="5"/>
      <c r="F664" s="6"/>
      <c r="G664" s="7"/>
      <c r="H664" s="11"/>
      <c r="I664" s="12"/>
      <c r="J664" s="1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x14ac:dyDescent="0.45">
      <c r="A665" s="24"/>
      <c r="B665" s="2"/>
      <c r="C665" s="10"/>
      <c r="D665" s="4"/>
      <c r="E665" s="5"/>
      <c r="F665" s="6"/>
      <c r="G665" s="7"/>
      <c r="H665" s="11"/>
      <c r="I665" s="12"/>
      <c r="J665" s="1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x14ac:dyDescent="0.45">
      <c r="A666" s="24"/>
      <c r="B666" s="2"/>
      <c r="C666" s="10"/>
      <c r="D666" s="4"/>
      <c r="E666" s="5"/>
      <c r="F666" s="6"/>
      <c r="G666" s="7"/>
      <c r="H666" s="11"/>
      <c r="I666" s="12"/>
      <c r="J666" s="1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x14ac:dyDescent="0.45">
      <c r="A667" s="24"/>
      <c r="B667" s="2"/>
      <c r="C667" s="10"/>
      <c r="D667" s="4"/>
      <c r="E667" s="5"/>
      <c r="F667" s="6"/>
      <c r="G667" s="7"/>
      <c r="H667" s="11"/>
      <c r="I667" s="12"/>
      <c r="J667" s="1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x14ac:dyDescent="0.45">
      <c r="A668" s="24"/>
      <c r="B668" s="2"/>
      <c r="C668" s="10"/>
      <c r="D668" s="4"/>
      <c r="E668" s="5"/>
      <c r="F668" s="6"/>
      <c r="G668" s="7"/>
      <c r="H668" s="11"/>
      <c r="I668" s="12"/>
      <c r="J668" s="1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x14ac:dyDescent="0.45">
      <c r="A669" s="24"/>
      <c r="B669" s="2"/>
      <c r="C669" s="10"/>
      <c r="D669" s="4"/>
      <c r="E669" s="5"/>
      <c r="F669" s="6"/>
      <c r="G669" s="7"/>
      <c r="H669" s="11"/>
      <c r="I669" s="12"/>
      <c r="J669" s="1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x14ac:dyDescent="0.45">
      <c r="A670" s="24"/>
      <c r="B670" s="2"/>
      <c r="C670" s="10"/>
      <c r="D670" s="4"/>
      <c r="E670" s="5"/>
      <c r="F670" s="6"/>
      <c r="G670" s="7"/>
      <c r="H670" s="11"/>
      <c r="I670" s="12"/>
      <c r="J670" s="1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x14ac:dyDescent="0.45">
      <c r="A671" s="24"/>
      <c r="B671" s="2"/>
      <c r="C671" s="10"/>
      <c r="D671" s="4"/>
      <c r="E671" s="5"/>
      <c r="F671" s="6"/>
      <c r="G671" s="7"/>
      <c r="H671" s="11"/>
      <c r="I671" s="12"/>
      <c r="J671" s="1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x14ac:dyDescent="0.45">
      <c r="A672" s="24"/>
      <c r="B672" s="2"/>
      <c r="C672" s="10"/>
      <c r="D672" s="4"/>
      <c r="E672" s="5"/>
      <c r="F672" s="6"/>
      <c r="G672" s="7"/>
      <c r="H672" s="11"/>
      <c r="I672" s="12"/>
      <c r="J672" s="1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x14ac:dyDescent="0.45">
      <c r="A673" s="24"/>
      <c r="B673" s="2"/>
      <c r="C673" s="10"/>
      <c r="D673" s="4"/>
      <c r="E673" s="5"/>
      <c r="F673" s="6"/>
      <c r="G673" s="7"/>
      <c r="H673" s="11"/>
      <c r="I673" s="12"/>
      <c r="J673" s="1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x14ac:dyDescent="0.45">
      <c r="A674" s="24"/>
      <c r="B674" s="2"/>
      <c r="C674" s="10"/>
      <c r="D674" s="4"/>
      <c r="E674" s="5"/>
      <c r="F674" s="6"/>
      <c r="G674" s="7"/>
      <c r="H674" s="11"/>
      <c r="I674" s="12"/>
      <c r="J674" s="1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x14ac:dyDescent="0.45">
      <c r="A675" s="24"/>
      <c r="B675" s="2"/>
      <c r="C675" s="10"/>
      <c r="D675" s="4"/>
      <c r="E675" s="5"/>
      <c r="F675" s="6"/>
      <c r="G675" s="7"/>
      <c r="H675" s="11"/>
      <c r="I675" s="12"/>
      <c r="J675" s="1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x14ac:dyDescent="0.45">
      <c r="A676" s="24"/>
      <c r="B676" s="2"/>
      <c r="C676" s="10"/>
      <c r="D676" s="4"/>
      <c r="E676" s="5"/>
      <c r="F676" s="6"/>
      <c r="G676" s="7"/>
      <c r="H676" s="11"/>
      <c r="I676" s="12"/>
      <c r="J676" s="1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x14ac:dyDescent="0.45">
      <c r="A677" s="24"/>
      <c r="B677" s="2"/>
      <c r="C677" s="10"/>
      <c r="D677" s="4"/>
      <c r="E677" s="5"/>
      <c r="F677" s="6"/>
      <c r="G677" s="7"/>
      <c r="H677" s="11"/>
      <c r="I677" s="12"/>
      <c r="J677" s="1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x14ac:dyDescent="0.45">
      <c r="A678" s="24"/>
      <c r="B678" s="2"/>
      <c r="C678" s="10"/>
      <c r="D678" s="4"/>
      <c r="E678" s="5"/>
      <c r="F678" s="6"/>
      <c r="G678" s="7"/>
      <c r="H678" s="11"/>
      <c r="I678" s="12"/>
      <c r="J678" s="1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x14ac:dyDescent="0.45">
      <c r="A679" s="24"/>
      <c r="B679" s="2"/>
      <c r="C679" s="10"/>
      <c r="D679" s="4"/>
      <c r="E679" s="5"/>
      <c r="F679" s="6"/>
      <c r="G679" s="7"/>
      <c r="H679" s="11"/>
      <c r="I679" s="12"/>
      <c r="J679" s="1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x14ac:dyDescent="0.45">
      <c r="A680" s="24"/>
      <c r="B680" s="2"/>
      <c r="C680" s="10"/>
      <c r="D680" s="4"/>
      <c r="E680" s="5"/>
      <c r="F680" s="6"/>
      <c r="G680" s="7"/>
      <c r="H680" s="11"/>
      <c r="I680" s="12"/>
      <c r="J680" s="1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x14ac:dyDescent="0.45">
      <c r="A681" s="24"/>
      <c r="B681" s="2"/>
      <c r="C681" s="10"/>
      <c r="D681" s="4"/>
      <c r="E681" s="5"/>
      <c r="F681" s="6"/>
      <c r="G681" s="7"/>
      <c r="H681" s="11"/>
      <c r="I681" s="12"/>
      <c r="J681" s="1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x14ac:dyDescent="0.45">
      <c r="A682" s="24"/>
      <c r="B682" s="2"/>
      <c r="C682" s="10"/>
      <c r="D682" s="4"/>
      <c r="E682" s="5"/>
      <c r="F682" s="6"/>
      <c r="G682" s="7"/>
      <c r="H682" s="11"/>
      <c r="I682" s="12"/>
      <c r="J682" s="1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x14ac:dyDescent="0.45">
      <c r="A683" s="24"/>
      <c r="B683" s="2"/>
      <c r="C683" s="10"/>
      <c r="D683" s="4"/>
      <c r="E683" s="5"/>
      <c r="F683" s="6"/>
      <c r="G683" s="7"/>
      <c r="H683" s="11"/>
      <c r="I683" s="12"/>
      <c r="J683" s="1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x14ac:dyDescent="0.45">
      <c r="A684" s="24"/>
      <c r="B684" s="2"/>
      <c r="C684" s="10"/>
      <c r="D684" s="4"/>
      <c r="E684" s="5"/>
      <c r="F684" s="6"/>
      <c r="G684" s="7"/>
      <c r="H684" s="11"/>
      <c r="I684" s="12"/>
      <c r="J684" s="1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x14ac:dyDescent="0.45">
      <c r="A685" s="24"/>
      <c r="B685" s="2"/>
      <c r="C685" s="10"/>
      <c r="D685" s="4"/>
      <c r="E685" s="5"/>
      <c r="F685" s="6"/>
      <c r="G685" s="7"/>
      <c r="H685" s="11"/>
      <c r="I685" s="12"/>
      <c r="J685" s="1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x14ac:dyDescent="0.45">
      <c r="A686" s="24"/>
      <c r="B686" s="2"/>
      <c r="C686" s="10"/>
      <c r="D686" s="4"/>
      <c r="E686" s="5"/>
      <c r="F686" s="6"/>
      <c r="G686" s="7"/>
      <c r="H686" s="11"/>
      <c r="I686" s="12"/>
      <c r="J686" s="1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x14ac:dyDescent="0.45">
      <c r="A687" s="24"/>
      <c r="B687" s="2"/>
      <c r="C687" s="10"/>
      <c r="D687" s="4"/>
      <c r="E687" s="5"/>
      <c r="F687" s="6"/>
      <c r="G687" s="7"/>
      <c r="H687" s="11"/>
      <c r="I687" s="12"/>
      <c r="J687" s="1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x14ac:dyDescent="0.45">
      <c r="A688" s="24"/>
      <c r="B688" s="2"/>
      <c r="C688" s="10"/>
      <c r="D688" s="4"/>
      <c r="E688" s="5"/>
      <c r="F688" s="6"/>
      <c r="G688" s="7"/>
      <c r="H688" s="11"/>
      <c r="I688" s="12"/>
      <c r="J688" s="1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x14ac:dyDescent="0.45">
      <c r="A689" s="24"/>
      <c r="B689" s="2"/>
      <c r="C689" s="10"/>
      <c r="D689" s="4"/>
      <c r="E689" s="5"/>
      <c r="F689" s="6"/>
      <c r="G689" s="7"/>
      <c r="H689" s="11"/>
      <c r="I689" s="12"/>
      <c r="J689" s="1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x14ac:dyDescent="0.45">
      <c r="A690" s="24"/>
      <c r="B690" s="2"/>
      <c r="C690" s="10"/>
      <c r="D690" s="4"/>
      <c r="E690" s="5"/>
      <c r="F690" s="6"/>
      <c r="G690" s="7"/>
      <c r="H690" s="11"/>
      <c r="I690" s="12"/>
      <c r="J690" s="1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x14ac:dyDescent="0.45">
      <c r="A691" s="24"/>
      <c r="B691" s="2"/>
      <c r="C691" s="10"/>
      <c r="D691" s="4"/>
      <c r="E691" s="5"/>
      <c r="F691" s="6"/>
      <c r="G691" s="7"/>
      <c r="H691" s="11"/>
      <c r="I691" s="12"/>
      <c r="J691" s="1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x14ac:dyDescent="0.45">
      <c r="A692" s="24"/>
      <c r="B692" s="2"/>
      <c r="C692" s="10"/>
      <c r="D692" s="4"/>
      <c r="E692" s="5"/>
      <c r="F692" s="6"/>
      <c r="G692" s="7"/>
      <c r="H692" s="11"/>
      <c r="I692" s="12"/>
      <c r="J692" s="1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x14ac:dyDescent="0.45">
      <c r="A693" s="24"/>
      <c r="B693" s="2"/>
      <c r="C693" s="10"/>
      <c r="D693" s="4"/>
      <c r="E693" s="5"/>
      <c r="F693" s="6"/>
      <c r="G693" s="7"/>
      <c r="H693" s="11"/>
      <c r="I693" s="12"/>
      <c r="J693" s="1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x14ac:dyDescent="0.45">
      <c r="A694" s="24"/>
      <c r="B694" s="2"/>
      <c r="C694" s="10"/>
      <c r="D694" s="4"/>
      <c r="E694" s="5"/>
      <c r="F694" s="6"/>
      <c r="G694" s="7"/>
      <c r="H694" s="11"/>
      <c r="I694" s="12"/>
      <c r="J694" s="1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x14ac:dyDescent="0.45">
      <c r="A695" s="24"/>
      <c r="B695" s="2"/>
      <c r="C695" s="10"/>
      <c r="D695" s="4"/>
      <c r="E695" s="5"/>
      <c r="F695" s="6"/>
      <c r="G695" s="7"/>
      <c r="H695" s="11"/>
      <c r="I695" s="12"/>
      <c r="J695" s="1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x14ac:dyDescent="0.45">
      <c r="A696" s="24"/>
      <c r="B696" s="2"/>
      <c r="C696" s="10"/>
      <c r="D696" s="4"/>
      <c r="E696" s="5"/>
      <c r="F696" s="6"/>
      <c r="G696" s="7"/>
      <c r="H696" s="11"/>
      <c r="I696" s="12"/>
      <c r="J696" s="1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x14ac:dyDescent="0.45">
      <c r="A697" s="24"/>
      <c r="B697" s="2"/>
      <c r="C697" s="10"/>
      <c r="D697" s="4"/>
      <c r="E697" s="5"/>
      <c r="F697" s="6"/>
      <c r="G697" s="7"/>
      <c r="H697" s="11"/>
      <c r="I697" s="12"/>
      <c r="J697" s="1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x14ac:dyDescent="0.45">
      <c r="A698" s="24"/>
      <c r="B698" s="2"/>
      <c r="C698" s="10"/>
      <c r="D698" s="4"/>
      <c r="E698" s="5"/>
      <c r="F698" s="6"/>
      <c r="G698" s="7"/>
      <c r="H698" s="11"/>
      <c r="I698" s="12"/>
      <c r="J698" s="1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x14ac:dyDescent="0.45">
      <c r="A699" s="24"/>
      <c r="B699" s="2"/>
      <c r="C699" s="10"/>
      <c r="D699" s="4"/>
      <c r="E699" s="5"/>
      <c r="F699" s="6"/>
      <c r="G699" s="7"/>
      <c r="H699" s="11"/>
      <c r="I699" s="12"/>
      <c r="J699" s="1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x14ac:dyDescent="0.45">
      <c r="A700" s="24"/>
      <c r="B700" s="2"/>
      <c r="C700" s="10"/>
      <c r="D700" s="4"/>
      <c r="E700" s="5"/>
      <c r="F700" s="6"/>
      <c r="G700" s="7"/>
      <c r="H700" s="11"/>
      <c r="I700" s="12"/>
      <c r="J700" s="1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x14ac:dyDescent="0.45">
      <c r="A701" s="24"/>
      <c r="B701" s="2"/>
      <c r="C701" s="10"/>
      <c r="D701" s="4"/>
      <c r="E701" s="5"/>
      <c r="F701" s="6"/>
      <c r="G701" s="7"/>
      <c r="H701" s="11"/>
      <c r="I701" s="12"/>
      <c r="J701" s="1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x14ac:dyDescent="0.45">
      <c r="A702" s="24"/>
      <c r="B702" s="2"/>
      <c r="C702" s="10"/>
      <c r="D702" s="4"/>
      <c r="E702" s="5"/>
      <c r="F702" s="6"/>
      <c r="G702" s="7"/>
      <c r="H702" s="11"/>
      <c r="I702" s="12"/>
      <c r="J702" s="1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x14ac:dyDescent="0.45">
      <c r="A703" s="24"/>
      <c r="B703" s="2"/>
      <c r="C703" s="10"/>
      <c r="D703" s="4"/>
      <c r="E703" s="5"/>
      <c r="F703" s="6"/>
      <c r="G703" s="7"/>
      <c r="H703" s="11"/>
      <c r="I703" s="12"/>
      <c r="J703" s="1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x14ac:dyDescent="0.45">
      <c r="A704" s="24"/>
      <c r="B704" s="2"/>
      <c r="C704" s="10"/>
      <c r="D704" s="4"/>
      <c r="E704" s="5"/>
      <c r="F704" s="6"/>
      <c r="G704" s="7"/>
      <c r="H704" s="11"/>
      <c r="I704" s="12"/>
      <c r="J704" s="1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x14ac:dyDescent="0.45">
      <c r="A705" s="24"/>
      <c r="B705" s="2"/>
      <c r="C705" s="10"/>
      <c r="D705" s="4"/>
      <c r="E705" s="5"/>
      <c r="F705" s="6"/>
      <c r="G705" s="7"/>
      <c r="H705" s="11"/>
      <c r="I705" s="12"/>
      <c r="J705" s="1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x14ac:dyDescent="0.45">
      <c r="A706" s="24"/>
      <c r="B706" s="2"/>
      <c r="C706" s="10"/>
      <c r="D706" s="4"/>
      <c r="E706" s="5"/>
      <c r="F706" s="6"/>
      <c r="G706" s="7"/>
      <c r="H706" s="11"/>
      <c r="I706" s="12"/>
      <c r="J706" s="1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x14ac:dyDescent="0.45">
      <c r="A707" s="24"/>
      <c r="B707" s="2"/>
      <c r="C707" s="10"/>
      <c r="D707" s="4"/>
      <c r="E707" s="5"/>
      <c r="F707" s="6"/>
      <c r="G707" s="7"/>
      <c r="H707" s="11"/>
      <c r="I707" s="12"/>
      <c r="J707" s="1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x14ac:dyDescent="0.45">
      <c r="A708" s="24"/>
      <c r="B708" s="2"/>
      <c r="C708" s="10"/>
      <c r="D708" s="4"/>
      <c r="E708" s="5"/>
      <c r="F708" s="6"/>
      <c r="G708" s="7"/>
      <c r="H708" s="11"/>
      <c r="I708" s="12"/>
      <c r="J708" s="1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x14ac:dyDescent="0.45">
      <c r="A709" s="24"/>
      <c r="B709" s="2"/>
      <c r="C709" s="10"/>
      <c r="D709" s="4"/>
      <c r="E709" s="5"/>
      <c r="F709" s="6"/>
      <c r="G709" s="7"/>
      <c r="H709" s="11"/>
      <c r="I709" s="12"/>
      <c r="J709" s="1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x14ac:dyDescent="0.45">
      <c r="A710" s="24"/>
      <c r="B710" s="2"/>
      <c r="C710" s="10"/>
      <c r="D710" s="4"/>
      <c r="E710" s="5"/>
      <c r="F710" s="6"/>
      <c r="G710" s="7"/>
      <c r="H710" s="11"/>
      <c r="I710" s="12"/>
      <c r="J710" s="1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x14ac:dyDescent="0.45">
      <c r="A711" s="24"/>
      <c r="B711" s="2"/>
      <c r="C711" s="10"/>
      <c r="D711" s="4"/>
      <c r="E711" s="5"/>
      <c r="F711" s="6"/>
      <c r="G711" s="7"/>
      <c r="H711" s="11"/>
      <c r="I711" s="12"/>
      <c r="J711" s="1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x14ac:dyDescent="0.45">
      <c r="A712" s="24"/>
      <c r="B712" s="2"/>
      <c r="C712" s="10"/>
      <c r="D712" s="4"/>
      <c r="E712" s="5"/>
      <c r="F712" s="6"/>
      <c r="G712" s="7"/>
      <c r="H712" s="11"/>
      <c r="I712" s="12"/>
      <c r="J712" s="1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x14ac:dyDescent="0.45">
      <c r="A713" s="24"/>
      <c r="B713" s="2"/>
      <c r="C713" s="10"/>
      <c r="D713" s="4"/>
      <c r="E713" s="5"/>
      <c r="F713" s="6"/>
      <c r="G713" s="7"/>
      <c r="H713" s="11"/>
      <c r="I713" s="12"/>
      <c r="J713" s="1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x14ac:dyDescent="0.45">
      <c r="A714" s="24"/>
      <c r="B714" s="2"/>
      <c r="C714" s="10"/>
      <c r="D714" s="4"/>
      <c r="E714" s="5"/>
      <c r="F714" s="6"/>
      <c r="G714" s="7"/>
      <c r="H714" s="11"/>
      <c r="I714" s="12"/>
      <c r="J714" s="1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x14ac:dyDescent="0.45">
      <c r="A715" s="24"/>
      <c r="B715" s="2"/>
      <c r="C715" s="10"/>
      <c r="D715" s="4"/>
      <c r="E715" s="5"/>
      <c r="F715" s="6"/>
      <c r="G715" s="7"/>
      <c r="H715" s="11"/>
      <c r="I715" s="12"/>
      <c r="J715" s="1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x14ac:dyDescent="0.45">
      <c r="A716" s="24"/>
      <c r="B716" s="2"/>
      <c r="C716" s="10"/>
      <c r="D716" s="4"/>
      <c r="E716" s="5"/>
      <c r="F716" s="6"/>
      <c r="G716" s="7"/>
      <c r="H716" s="11"/>
      <c r="I716" s="12"/>
      <c r="J716" s="1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x14ac:dyDescent="0.45">
      <c r="A717" s="24"/>
      <c r="B717" s="2"/>
      <c r="C717" s="10"/>
      <c r="D717" s="4"/>
      <c r="E717" s="5"/>
      <c r="F717" s="6"/>
      <c r="G717" s="7"/>
      <c r="H717" s="11"/>
      <c r="I717" s="12"/>
      <c r="J717" s="1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x14ac:dyDescent="0.45">
      <c r="A718" s="24"/>
      <c r="B718" s="2"/>
      <c r="C718" s="10"/>
      <c r="D718" s="4"/>
      <c r="E718" s="5"/>
      <c r="F718" s="6"/>
      <c r="G718" s="7"/>
      <c r="H718" s="11"/>
      <c r="I718" s="12"/>
      <c r="J718" s="1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x14ac:dyDescent="0.45">
      <c r="A719" s="24"/>
      <c r="B719" s="2"/>
      <c r="C719" s="10"/>
      <c r="D719" s="4"/>
      <c r="E719" s="5"/>
      <c r="F719" s="6"/>
      <c r="G719" s="7"/>
      <c r="H719" s="11"/>
      <c r="I719" s="12"/>
      <c r="J719" s="1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x14ac:dyDescent="0.45">
      <c r="A720" s="24"/>
      <c r="B720" s="2"/>
      <c r="C720" s="10"/>
      <c r="D720" s="4"/>
      <c r="E720" s="5"/>
      <c r="F720" s="6"/>
      <c r="G720" s="7"/>
      <c r="H720" s="11"/>
      <c r="I720" s="12"/>
      <c r="J720" s="1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x14ac:dyDescent="0.45">
      <c r="A721" s="24"/>
      <c r="B721" s="2"/>
      <c r="C721" s="10"/>
      <c r="D721" s="4"/>
      <c r="E721" s="5"/>
      <c r="F721" s="6"/>
      <c r="G721" s="7"/>
      <c r="H721" s="11"/>
      <c r="I721" s="12"/>
      <c r="J721" s="1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x14ac:dyDescent="0.45">
      <c r="A722" s="24"/>
      <c r="B722" s="2"/>
      <c r="C722" s="10"/>
      <c r="D722" s="4"/>
      <c r="E722" s="5"/>
      <c r="F722" s="6"/>
      <c r="G722" s="7"/>
      <c r="H722" s="11"/>
      <c r="I722" s="12"/>
      <c r="J722" s="1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x14ac:dyDescent="0.45">
      <c r="A723" s="24"/>
      <c r="B723" s="2"/>
      <c r="C723" s="10"/>
      <c r="D723" s="4"/>
      <c r="E723" s="5"/>
      <c r="F723" s="6"/>
      <c r="G723" s="7"/>
      <c r="H723" s="11"/>
      <c r="I723" s="12"/>
      <c r="J723" s="1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x14ac:dyDescent="0.45">
      <c r="A724" s="24"/>
      <c r="B724" s="2"/>
      <c r="C724" s="10"/>
      <c r="D724" s="4"/>
      <c r="E724" s="5"/>
      <c r="F724" s="6"/>
      <c r="G724" s="7"/>
      <c r="H724" s="11"/>
      <c r="I724" s="12"/>
      <c r="J724" s="1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x14ac:dyDescent="0.45">
      <c r="A725" s="24"/>
      <c r="B725" s="2"/>
      <c r="C725" s="10"/>
      <c r="D725" s="4"/>
      <c r="E725" s="5"/>
      <c r="F725" s="6"/>
      <c r="G725" s="7"/>
      <c r="H725" s="11"/>
      <c r="I725" s="12"/>
      <c r="J725" s="1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x14ac:dyDescent="0.45">
      <c r="A726" s="24"/>
      <c r="B726" s="2"/>
      <c r="C726" s="10"/>
      <c r="D726" s="4"/>
      <c r="E726" s="5"/>
      <c r="F726" s="6"/>
      <c r="G726" s="7"/>
      <c r="H726" s="11"/>
      <c r="I726" s="12"/>
      <c r="J726" s="1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x14ac:dyDescent="0.45">
      <c r="A727" s="24"/>
      <c r="B727" s="2"/>
      <c r="C727" s="10"/>
      <c r="D727" s="4"/>
      <c r="E727" s="5"/>
      <c r="F727" s="6"/>
      <c r="G727" s="7"/>
      <c r="H727" s="11"/>
      <c r="I727" s="12"/>
      <c r="J727" s="1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x14ac:dyDescent="0.45">
      <c r="A728" s="24"/>
      <c r="B728" s="2"/>
      <c r="C728" s="10"/>
      <c r="D728" s="4"/>
      <c r="E728" s="5"/>
      <c r="F728" s="6"/>
      <c r="G728" s="7"/>
      <c r="H728" s="11"/>
      <c r="I728" s="12"/>
      <c r="J728" s="1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x14ac:dyDescent="0.45">
      <c r="A729" s="24"/>
      <c r="B729" s="2"/>
      <c r="C729" s="10"/>
      <c r="D729" s="4"/>
      <c r="E729" s="5"/>
      <c r="F729" s="6"/>
      <c r="G729" s="7"/>
      <c r="H729" s="11"/>
      <c r="I729" s="12"/>
      <c r="J729" s="1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x14ac:dyDescent="0.45">
      <c r="A730" s="24"/>
      <c r="B730" s="2"/>
      <c r="C730" s="10"/>
      <c r="D730" s="4"/>
      <c r="E730" s="5"/>
      <c r="F730" s="6"/>
      <c r="G730" s="7"/>
      <c r="H730" s="11"/>
      <c r="I730" s="12"/>
      <c r="J730" s="1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x14ac:dyDescent="0.45">
      <c r="A731" s="24"/>
      <c r="B731" s="2"/>
      <c r="C731" s="10"/>
      <c r="D731" s="4"/>
      <c r="E731" s="5"/>
      <c r="F731" s="6"/>
      <c r="G731" s="7"/>
      <c r="H731" s="11"/>
      <c r="I731" s="12"/>
      <c r="J731" s="1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x14ac:dyDescent="0.45">
      <c r="A732" s="24"/>
      <c r="B732" s="2"/>
      <c r="C732" s="10"/>
      <c r="D732" s="4"/>
      <c r="E732" s="5"/>
      <c r="F732" s="6"/>
      <c r="G732" s="7"/>
      <c r="H732" s="11"/>
      <c r="I732" s="12"/>
      <c r="J732" s="1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x14ac:dyDescent="0.45">
      <c r="A733" s="24"/>
      <c r="B733" s="2"/>
      <c r="C733" s="10"/>
      <c r="D733" s="4"/>
      <c r="E733" s="5"/>
      <c r="F733" s="6"/>
      <c r="G733" s="7"/>
      <c r="H733" s="11"/>
      <c r="I733" s="12"/>
      <c r="J733" s="1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x14ac:dyDescent="0.45">
      <c r="A734" s="24"/>
      <c r="B734" s="2"/>
      <c r="C734" s="10"/>
      <c r="D734" s="4"/>
      <c r="E734" s="5"/>
      <c r="F734" s="6"/>
      <c r="G734" s="7"/>
      <c r="H734" s="11"/>
      <c r="I734" s="12"/>
      <c r="J734" s="1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x14ac:dyDescent="0.45">
      <c r="A735" s="24"/>
      <c r="B735" s="2"/>
      <c r="C735" s="10"/>
      <c r="D735" s="4"/>
      <c r="E735" s="5"/>
      <c r="F735" s="6"/>
      <c r="G735" s="7"/>
      <c r="H735" s="11"/>
      <c r="I735" s="12"/>
      <c r="J735" s="1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x14ac:dyDescent="0.45">
      <c r="A736" s="24"/>
      <c r="B736" s="2"/>
      <c r="C736" s="10"/>
      <c r="D736" s="4"/>
      <c r="E736" s="5"/>
      <c r="F736" s="6"/>
      <c r="G736" s="7"/>
      <c r="H736" s="11"/>
      <c r="I736" s="12"/>
      <c r="J736" s="1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x14ac:dyDescent="0.45">
      <c r="A737" s="24"/>
      <c r="B737" s="2"/>
      <c r="C737" s="10"/>
      <c r="D737" s="4"/>
      <c r="E737" s="5"/>
      <c r="F737" s="6"/>
      <c r="G737" s="7"/>
      <c r="H737" s="11"/>
      <c r="I737" s="12"/>
      <c r="J737" s="1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x14ac:dyDescent="0.45">
      <c r="A738" s="24"/>
      <c r="B738" s="2"/>
      <c r="C738" s="10"/>
      <c r="D738" s="4"/>
      <c r="E738" s="5"/>
      <c r="F738" s="6"/>
      <c r="G738" s="7"/>
      <c r="H738" s="11"/>
      <c r="I738" s="12"/>
      <c r="J738" s="1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x14ac:dyDescent="0.45">
      <c r="A739" s="24"/>
      <c r="B739" s="2"/>
      <c r="C739" s="10"/>
      <c r="D739" s="4"/>
      <c r="E739" s="5"/>
      <c r="F739" s="6"/>
      <c r="G739" s="7"/>
      <c r="H739" s="11"/>
      <c r="I739" s="12"/>
      <c r="J739" s="1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x14ac:dyDescent="0.45">
      <c r="A740" s="24"/>
      <c r="B740" s="2"/>
      <c r="C740" s="10"/>
      <c r="D740" s="4"/>
      <c r="E740" s="5"/>
      <c r="F740" s="6"/>
      <c r="G740" s="7"/>
      <c r="H740" s="11"/>
      <c r="I740" s="12"/>
      <c r="J740" s="1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x14ac:dyDescent="0.45">
      <c r="A741" s="24"/>
      <c r="B741" s="2"/>
      <c r="C741" s="10"/>
      <c r="D741" s="4"/>
      <c r="E741" s="5"/>
      <c r="F741" s="6"/>
      <c r="G741" s="7"/>
      <c r="H741" s="11"/>
      <c r="I741" s="12"/>
      <c r="J741" s="1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x14ac:dyDescent="0.45">
      <c r="A742" s="24"/>
      <c r="B742" s="2"/>
      <c r="C742" s="10"/>
      <c r="D742" s="4"/>
      <c r="E742" s="5"/>
      <c r="F742" s="6"/>
      <c r="G742" s="7"/>
      <c r="H742" s="11"/>
      <c r="I742" s="12"/>
      <c r="J742" s="1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x14ac:dyDescent="0.45">
      <c r="A743" s="24"/>
      <c r="B743" s="2"/>
      <c r="C743" s="10"/>
      <c r="D743" s="4"/>
      <c r="E743" s="5"/>
      <c r="F743" s="6"/>
      <c r="G743" s="7"/>
      <c r="H743" s="11"/>
      <c r="I743" s="12"/>
      <c r="J743" s="1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x14ac:dyDescent="0.45">
      <c r="A744" s="24"/>
      <c r="B744" s="2"/>
      <c r="C744" s="10"/>
      <c r="D744" s="4"/>
      <c r="E744" s="5"/>
      <c r="F744" s="6"/>
      <c r="G744" s="7"/>
      <c r="H744" s="11"/>
      <c r="I744" s="12"/>
      <c r="J744" s="1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x14ac:dyDescent="0.45">
      <c r="A745" s="24"/>
      <c r="B745" s="2"/>
      <c r="C745" s="10"/>
      <c r="D745" s="4"/>
      <c r="E745" s="5"/>
      <c r="F745" s="6"/>
      <c r="G745" s="7"/>
      <c r="H745" s="11"/>
      <c r="I745" s="12"/>
      <c r="J745" s="1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x14ac:dyDescent="0.45">
      <c r="A746" s="24"/>
      <c r="B746" s="2"/>
      <c r="C746" s="10"/>
      <c r="D746" s="4"/>
      <c r="E746" s="5"/>
      <c r="F746" s="6"/>
      <c r="G746" s="7"/>
      <c r="H746" s="11"/>
      <c r="I746" s="12"/>
      <c r="J746" s="1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x14ac:dyDescent="0.45">
      <c r="A747" s="24"/>
      <c r="B747" s="2"/>
      <c r="C747" s="10"/>
      <c r="D747" s="4"/>
      <c r="E747" s="5"/>
      <c r="F747" s="6"/>
      <c r="G747" s="7"/>
      <c r="H747" s="11"/>
      <c r="I747" s="12"/>
      <c r="J747" s="1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x14ac:dyDescent="0.45">
      <c r="A748" s="24"/>
      <c r="B748" s="2"/>
      <c r="C748" s="10"/>
      <c r="D748" s="4"/>
      <c r="E748" s="5"/>
      <c r="F748" s="6"/>
      <c r="G748" s="7"/>
      <c r="H748" s="11"/>
      <c r="I748" s="12"/>
      <c r="J748" s="1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x14ac:dyDescent="0.45">
      <c r="A749" s="24"/>
      <c r="B749" s="2"/>
      <c r="C749" s="10"/>
      <c r="D749" s="4"/>
      <c r="E749" s="5"/>
      <c r="F749" s="6"/>
      <c r="G749" s="7"/>
      <c r="H749" s="11"/>
      <c r="I749" s="12"/>
      <c r="J749" s="1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x14ac:dyDescent="0.45">
      <c r="A750" s="24"/>
      <c r="B750" s="2"/>
      <c r="C750" s="10"/>
      <c r="D750" s="4"/>
      <c r="E750" s="5"/>
      <c r="F750" s="6"/>
      <c r="G750" s="7"/>
      <c r="H750" s="11"/>
      <c r="I750" s="12"/>
      <c r="J750" s="1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x14ac:dyDescent="0.45">
      <c r="A751" s="24"/>
      <c r="B751" s="2"/>
      <c r="C751" s="10"/>
      <c r="D751" s="4"/>
      <c r="E751" s="5"/>
      <c r="F751" s="6"/>
      <c r="G751" s="7"/>
      <c r="H751" s="11"/>
      <c r="I751" s="12"/>
      <c r="J751" s="1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x14ac:dyDescent="0.45">
      <c r="A752" s="24"/>
      <c r="B752" s="2"/>
      <c r="C752" s="10"/>
      <c r="D752" s="4"/>
      <c r="E752" s="5"/>
      <c r="F752" s="6"/>
      <c r="G752" s="7"/>
      <c r="H752" s="11"/>
      <c r="I752" s="12"/>
      <c r="J752" s="1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x14ac:dyDescent="0.45">
      <c r="A753" s="24"/>
      <c r="B753" s="2"/>
      <c r="C753" s="10"/>
      <c r="D753" s="4"/>
      <c r="E753" s="5"/>
      <c r="F753" s="6"/>
      <c r="G753" s="7"/>
      <c r="H753" s="11"/>
      <c r="I753" s="12"/>
      <c r="J753" s="1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x14ac:dyDescent="0.45">
      <c r="A754" s="24"/>
      <c r="B754" s="2"/>
      <c r="C754" s="10"/>
      <c r="D754" s="4"/>
      <c r="E754" s="5"/>
      <c r="F754" s="6"/>
      <c r="G754" s="7"/>
      <c r="H754" s="11"/>
      <c r="I754" s="12"/>
      <c r="J754" s="1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x14ac:dyDescent="0.45">
      <c r="A755" s="24"/>
      <c r="B755" s="2"/>
      <c r="C755" s="10"/>
      <c r="D755" s="4"/>
      <c r="E755" s="5"/>
      <c r="F755" s="6"/>
      <c r="G755" s="7"/>
      <c r="H755" s="11"/>
      <c r="I755" s="12"/>
      <c r="J755" s="1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x14ac:dyDescent="0.45">
      <c r="A756" s="24"/>
      <c r="B756" s="2"/>
      <c r="C756" s="10"/>
      <c r="D756" s="4"/>
      <c r="E756" s="5"/>
      <c r="F756" s="6"/>
      <c r="G756" s="7"/>
      <c r="H756" s="11"/>
      <c r="I756" s="12"/>
      <c r="J756" s="1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x14ac:dyDescent="0.45">
      <c r="A757" s="24"/>
      <c r="B757" s="2"/>
      <c r="C757" s="10"/>
      <c r="D757" s="4"/>
      <c r="E757" s="5"/>
      <c r="F757" s="6"/>
      <c r="G757" s="7"/>
      <c r="H757" s="11"/>
      <c r="I757" s="12"/>
      <c r="J757" s="1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x14ac:dyDescent="0.45">
      <c r="A758" s="24"/>
      <c r="B758" s="2"/>
      <c r="C758" s="10"/>
      <c r="D758" s="4"/>
      <c r="E758" s="5"/>
      <c r="F758" s="6"/>
      <c r="G758" s="7"/>
      <c r="H758" s="11"/>
      <c r="I758" s="12"/>
      <c r="J758" s="1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x14ac:dyDescent="0.45">
      <c r="A759" s="24"/>
      <c r="B759" s="2"/>
      <c r="C759" s="10"/>
      <c r="D759" s="4"/>
      <c r="E759" s="5"/>
      <c r="F759" s="6"/>
      <c r="G759" s="7"/>
      <c r="H759" s="11"/>
      <c r="I759" s="12"/>
      <c r="J759" s="1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x14ac:dyDescent="0.45">
      <c r="A760" s="24"/>
      <c r="B760" s="2"/>
      <c r="C760" s="10"/>
      <c r="D760" s="4"/>
      <c r="E760" s="5"/>
      <c r="F760" s="6"/>
      <c r="G760" s="7"/>
      <c r="H760" s="11"/>
      <c r="I760" s="12"/>
      <c r="J760" s="1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x14ac:dyDescent="0.45">
      <c r="A761" s="24"/>
      <c r="B761" s="2"/>
      <c r="C761" s="10"/>
      <c r="D761" s="4"/>
      <c r="E761" s="5"/>
      <c r="F761" s="6"/>
      <c r="G761" s="7"/>
      <c r="H761" s="11"/>
      <c r="I761" s="12"/>
      <c r="J761" s="1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x14ac:dyDescent="0.45">
      <c r="A762" s="24"/>
      <c r="B762" s="2"/>
      <c r="C762" s="10"/>
      <c r="D762" s="4"/>
      <c r="E762" s="5"/>
      <c r="F762" s="6"/>
      <c r="G762" s="7"/>
      <c r="H762" s="11"/>
      <c r="I762" s="12"/>
      <c r="J762" s="1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x14ac:dyDescent="0.45">
      <c r="A763" s="24"/>
      <c r="B763" s="2"/>
      <c r="C763" s="10"/>
      <c r="D763" s="4"/>
      <c r="E763" s="5"/>
      <c r="F763" s="6"/>
      <c r="G763" s="7"/>
      <c r="H763" s="11"/>
      <c r="I763" s="12"/>
      <c r="J763" s="1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x14ac:dyDescent="0.45">
      <c r="A764" s="24"/>
      <c r="B764" s="2"/>
      <c r="C764" s="10"/>
      <c r="D764" s="4"/>
      <c r="E764" s="5"/>
      <c r="F764" s="6"/>
      <c r="G764" s="7"/>
      <c r="H764" s="11"/>
      <c r="I764" s="12"/>
      <c r="J764" s="1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x14ac:dyDescent="0.45">
      <c r="A765" s="24"/>
      <c r="B765" s="2"/>
      <c r="C765" s="10"/>
      <c r="D765" s="4"/>
      <c r="E765" s="5"/>
      <c r="F765" s="6"/>
      <c r="G765" s="7"/>
      <c r="H765" s="11"/>
      <c r="I765" s="12"/>
      <c r="J765" s="1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x14ac:dyDescent="0.45">
      <c r="A766" s="24"/>
      <c r="B766" s="2"/>
      <c r="C766" s="10"/>
      <c r="D766" s="4"/>
      <c r="E766" s="5"/>
      <c r="F766" s="6"/>
      <c r="G766" s="7"/>
      <c r="H766" s="11"/>
      <c r="I766" s="12"/>
      <c r="J766" s="1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x14ac:dyDescent="0.45">
      <c r="A767" s="24"/>
      <c r="B767" s="2"/>
      <c r="C767" s="10"/>
      <c r="D767" s="4"/>
      <c r="E767" s="5"/>
      <c r="F767" s="6"/>
      <c r="G767" s="7"/>
      <c r="H767" s="11"/>
      <c r="I767" s="12"/>
      <c r="J767" s="1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x14ac:dyDescent="0.45">
      <c r="A768" s="24"/>
      <c r="B768" s="2"/>
      <c r="C768" s="10"/>
      <c r="D768" s="4"/>
      <c r="E768" s="5"/>
      <c r="F768" s="6"/>
      <c r="G768" s="7"/>
      <c r="H768" s="11"/>
      <c r="I768" s="12"/>
      <c r="J768" s="1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x14ac:dyDescent="0.45">
      <c r="A769" s="24"/>
      <c r="B769" s="2"/>
      <c r="C769" s="10"/>
      <c r="D769" s="4"/>
      <c r="E769" s="5"/>
      <c r="F769" s="6"/>
      <c r="G769" s="7"/>
      <c r="H769" s="11"/>
      <c r="I769" s="12"/>
      <c r="J769" s="1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x14ac:dyDescent="0.45">
      <c r="A770" s="24"/>
      <c r="B770" s="2"/>
      <c r="C770" s="10"/>
      <c r="D770" s="4"/>
      <c r="E770" s="5"/>
      <c r="F770" s="6"/>
      <c r="G770" s="7"/>
      <c r="H770" s="11"/>
      <c r="I770" s="12"/>
      <c r="J770" s="1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x14ac:dyDescent="0.45">
      <c r="A771" s="24"/>
      <c r="B771" s="2"/>
      <c r="C771" s="10"/>
      <c r="D771" s="4"/>
      <c r="E771" s="5"/>
      <c r="F771" s="6"/>
      <c r="G771" s="7"/>
      <c r="H771" s="11"/>
      <c r="I771" s="12"/>
      <c r="J771" s="1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x14ac:dyDescent="0.45">
      <c r="A772" s="24"/>
      <c r="B772" s="2"/>
      <c r="C772" s="10"/>
      <c r="D772" s="4"/>
      <c r="E772" s="5"/>
      <c r="F772" s="6"/>
      <c r="G772" s="7"/>
      <c r="H772" s="11"/>
      <c r="I772" s="12"/>
      <c r="J772" s="1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x14ac:dyDescent="0.45">
      <c r="A773" s="24"/>
      <c r="B773" s="2"/>
      <c r="C773" s="10"/>
      <c r="D773" s="4"/>
      <c r="E773" s="5"/>
      <c r="F773" s="6"/>
      <c r="G773" s="7"/>
      <c r="H773" s="11"/>
      <c r="I773" s="12"/>
      <c r="J773" s="1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x14ac:dyDescent="0.45">
      <c r="A774" s="24"/>
      <c r="B774" s="2"/>
      <c r="C774" s="10"/>
      <c r="D774" s="4"/>
      <c r="E774" s="5"/>
      <c r="F774" s="6"/>
      <c r="G774" s="7"/>
      <c r="H774" s="11"/>
      <c r="I774" s="12"/>
      <c r="J774" s="1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x14ac:dyDescent="0.45">
      <c r="A775" s="24"/>
      <c r="B775" s="2"/>
      <c r="C775" s="10"/>
      <c r="D775" s="4"/>
      <c r="E775" s="5"/>
      <c r="F775" s="6"/>
      <c r="G775" s="7"/>
      <c r="H775" s="11"/>
      <c r="I775" s="12"/>
      <c r="J775" s="1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x14ac:dyDescent="0.45">
      <c r="A776" s="24"/>
      <c r="B776" s="2"/>
      <c r="C776" s="10"/>
      <c r="D776" s="4"/>
      <c r="E776" s="5"/>
      <c r="F776" s="6"/>
      <c r="G776" s="7"/>
      <c r="H776" s="11"/>
      <c r="I776" s="12"/>
      <c r="J776" s="1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x14ac:dyDescent="0.45">
      <c r="A777" s="24"/>
      <c r="B777" s="2"/>
      <c r="C777" s="10"/>
      <c r="D777" s="4"/>
      <c r="E777" s="5"/>
      <c r="F777" s="6"/>
      <c r="G777" s="7"/>
      <c r="H777" s="11"/>
      <c r="I777" s="12"/>
      <c r="J777" s="1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x14ac:dyDescent="0.45">
      <c r="A778" s="24"/>
      <c r="B778" s="2"/>
      <c r="C778" s="10"/>
      <c r="D778" s="4"/>
      <c r="E778" s="5"/>
      <c r="F778" s="6"/>
      <c r="G778" s="7"/>
      <c r="H778" s="11"/>
      <c r="I778" s="12"/>
      <c r="J778" s="1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x14ac:dyDescent="0.45">
      <c r="A779" s="24"/>
      <c r="B779" s="2"/>
      <c r="C779" s="10"/>
      <c r="D779" s="4"/>
      <c r="E779" s="5"/>
      <c r="F779" s="6"/>
      <c r="G779" s="7"/>
      <c r="H779" s="11"/>
      <c r="I779" s="12"/>
      <c r="J779" s="1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x14ac:dyDescent="0.45">
      <c r="A780" s="24"/>
      <c r="B780" s="2"/>
      <c r="C780" s="10"/>
      <c r="D780" s="4"/>
      <c r="E780" s="5"/>
      <c r="F780" s="6"/>
      <c r="G780" s="7"/>
      <c r="H780" s="11"/>
      <c r="I780" s="12"/>
      <c r="J780" s="1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x14ac:dyDescent="0.45">
      <c r="A781" s="24"/>
      <c r="B781" s="2"/>
      <c r="C781" s="10"/>
      <c r="D781" s="4"/>
      <c r="E781" s="5"/>
      <c r="F781" s="6"/>
      <c r="G781" s="7"/>
      <c r="H781" s="11"/>
      <c r="I781" s="12"/>
      <c r="J781" s="1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x14ac:dyDescent="0.45">
      <c r="A782" s="24"/>
      <c r="B782" s="2"/>
      <c r="C782" s="10"/>
      <c r="D782" s="4"/>
      <c r="E782" s="5"/>
      <c r="F782" s="6"/>
      <c r="G782" s="7"/>
      <c r="H782" s="11"/>
      <c r="I782" s="12"/>
      <c r="J782" s="1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x14ac:dyDescent="0.45">
      <c r="A783" s="24"/>
      <c r="B783" s="2"/>
      <c r="C783" s="10"/>
      <c r="D783" s="4"/>
      <c r="E783" s="5"/>
      <c r="F783" s="6"/>
      <c r="G783" s="7"/>
      <c r="H783" s="11"/>
      <c r="I783" s="12"/>
      <c r="J783" s="1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x14ac:dyDescent="0.45">
      <c r="A784" s="24"/>
      <c r="B784" s="2"/>
      <c r="C784" s="10"/>
      <c r="D784" s="4"/>
      <c r="E784" s="5"/>
      <c r="F784" s="6"/>
      <c r="G784" s="7"/>
      <c r="H784" s="11"/>
      <c r="I784" s="12"/>
      <c r="J784" s="1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x14ac:dyDescent="0.45">
      <c r="A785" s="24"/>
      <c r="B785" s="2"/>
      <c r="C785" s="10"/>
      <c r="D785" s="4"/>
      <c r="E785" s="5"/>
      <c r="F785" s="6"/>
      <c r="G785" s="7"/>
      <c r="H785" s="11"/>
      <c r="I785" s="12"/>
      <c r="J785" s="1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x14ac:dyDescent="0.45">
      <c r="A786" s="24"/>
      <c r="B786" s="2"/>
      <c r="C786" s="10"/>
      <c r="D786" s="4"/>
      <c r="E786" s="5"/>
      <c r="F786" s="6"/>
      <c r="G786" s="7"/>
      <c r="H786" s="11"/>
      <c r="I786" s="12"/>
      <c r="J786" s="1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x14ac:dyDescent="0.45">
      <c r="A787" s="24"/>
      <c r="B787" s="2"/>
      <c r="C787" s="10"/>
      <c r="D787" s="4"/>
      <c r="E787" s="5"/>
      <c r="F787" s="6"/>
      <c r="G787" s="7"/>
      <c r="H787" s="11"/>
      <c r="I787" s="12"/>
      <c r="J787" s="1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x14ac:dyDescent="0.45">
      <c r="A788" s="24"/>
      <c r="B788" s="2"/>
      <c r="C788" s="10"/>
      <c r="D788" s="4"/>
      <c r="E788" s="5"/>
      <c r="F788" s="6"/>
      <c r="G788" s="7"/>
      <c r="H788" s="11"/>
      <c r="I788" s="12"/>
      <c r="J788" s="1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x14ac:dyDescent="0.45">
      <c r="A789" s="24"/>
      <c r="B789" s="2"/>
      <c r="C789" s="10"/>
      <c r="D789" s="4"/>
      <c r="E789" s="5"/>
      <c r="F789" s="6"/>
      <c r="G789" s="7"/>
      <c r="H789" s="11"/>
      <c r="I789" s="12"/>
      <c r="J789" s="1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x14ac:dyDescent="0.45">
      <c r="A790" s="24"/>
      <c r="B790" s="2"/>
      <c r="C790" s="10"/>
      <c r="D790" s="4"/>
      <c r="E790" s="5"/>
      <c r="F790" s="6"/>
      <c r="G790" s="7"/>
      <c r="H790" s="11"/>
      <c r="I790" s="12"/>
      <c r="J790" s="1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x14ac:dyDescent="0.45">
      <c r="A791" s="24"/>
      <c r="B791" s="2"/>
      <c r="C791" s="10"/>
      <c r="D791" s="4"/>
      <c r="E791" s="5"/>
      <c r="F791" s="6"/>
      <c r="G791" s="7"/>
      <c r="H791" s="11"/>
      <c r="I791" s="12"/>
      <c r="J791" s="1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x14ac:dyDescent="0.45">
      <c r="A792" s="24"/>
      <c r="B792" s="2"/>
      <c r="C792" s="10"/>
      <c r="D792" s="4"/>
      <c r="E792" s="5"/>
      <c r="F792" s="6"/>
      <c r="G792" s="7"/>
      <c r="H792" s="11"/>
      <c r="I792" s="12"/>
      <c r="J792" s="1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x14ac:dyDescent="0.45">
      <c r="A793" s="24"/>
      <c r="B793" s="2"/>
      <c r="C793" s="10"/>
      <c r="D793" s="4"/>
      <c r="E793" s="5"/>
      <c r="F793" s="6"/>
      <c r="G793" s="7"/>
      <c r="H793" s="11"/>
      <c r="I793" s="12"/>
      <c r="J793" s="1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x14ac:dyDescent="0.45">
      <c r="A794" s="24"/>
      <c r="B794" s="2"/>
      <c r="C794" s="10"/>
      <c r="D794" s="4"/>
      <c r="E794" s="5"/>
      <c r="F794" s="6"/>
      <c r="G794" s="7"/>
      <c r="H794" s="11"/>
      <c r="I794" s="12"/>
      <c r="J794" s="1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x14ac:dyDescent="0.45">
      <c r="A795" s="24"/>
      <c r="B795" s="2"/>
      <c r="C795" s="10"/>
      <c r="D795" s="4"/>
      <c r="E795" s="5"/>
      <c r="F795" s="6"/>
      <c r="G795" s="7"/>
      <c r="H795" s="11"/>
      <c r="I795" s="12"/>
      <c r="J795" s="1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x14ac:dyDescent="0.45">
      <c r="A796" s="24"/>
      <c r="B796" s="2"/>
      <c r="C796" s="10"/>
      <c r="D796" s="4"/>
      <c r="E796" s="5"/>
      <c r="F796" s="6"/>
      <c r="G796" s="7"/>
      <c r="H796" s="11"/>
      <c r="I796" s="12"/>
      <c r="J796" s="1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x14ac:dyDescent="0.45">
      <c r="A797" s="24"/>
      <c r="B797" s="2"/>
      <c r="C797" s="10"/>
      <c r="D797" s="4"/>
      <c r="E797" s="5"/>
      <c r="F797" s="6"/>
      <c r="G797" s="7"/>
      <c r="H797" s="11"/>
      <c r="I797" s="12"/>
      <c r="J797" s="1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x14ac:dyDescent="0.45">
      <c r="A798" s="24"/>
      <c r="B798" s="2"/>
      <c r="C798" s="10"/>
      <c r="D798" s="4"/>
      <c r="E798" s="5"/>
      <c r="F798" s="6"/>
      <c r="G798" s="7"/>
      <c r="H798" s="11"/>
      <c r="I798" s="12"/>
      <c r="J798" s="1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x14ac:dyDescent="0.45">
      <c r="A799" s="24"/>
      <c r="B799" s="2"/>
      <c r="C799" s="10"/>
      <c r="D799" s="4"/>
      <c r="E799" s="5"/>
      <c r="F799" s="6"/>
      <c r="G799" s="7"/>
      <c r="H799" s="11"/>
      <c r="I799" s="12"/>
      <c r="J799" s="1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x14ac:dyDescent="0.45">
      <c r="A800" s="24"/>
      <c r="B800" s="2"/>
      <c r="C800" s="10"/>
      <c r="D800" s="4"/>
      <c r="E800" s="5"/>
      <c r="F800" s="6"/>
      <c r="G800" s="7"/>
      <c r="H800" s="11"/>
      <c r="I800" s="12"/>
      <c r="J800" s="1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x14ac:dyDescent="0.45">
      <c r="A801" s="24"/>
      <c r="B801" s="2"/>
      <c r="C801" s="10"/>
      <c r="D801" s="4"/>
      <c r="E801" s="5"/>
      <c r="F801" s="6"/>
      <c r="G801" s="7"/>
      <c r="H801" s="11"/>
      <c r="I801" s="12"/>
      <c r="J801" s="1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x14ac:dyDescent="0.45">
      <c r="A802" s="24"/>
      <c r="B802" s="2"/>
      <c r="C802" s="10"/>
      <c r="D802" s="4"/>
      <c r="E802" s="5"/>
      <c r="F802" s="6"/>
      <c r="G802" s="7"/>
      <c r="H802" s="11"/>
      <c r="I802" s="12"/>
      <c r="J802" s="1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x14ac:dyDescent="0.45">
      <c r="A803" s="24"/>
      <c r="B803" s="2"/>
      <c r="C803" s="10"/>
      <c r="D803" s="4"/>
      <c r="E803" s="5"/>
      <c r="F803" s="6"/>
      <c r="G803" s="7"/>
      <c r="H803" s="11"/>
      <c r="I803" s="12"/>
      <c r="J803" s="1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x14ac:dyDescent="0.45">
      <c r="A804" s="24"/>
      <c r="B804" s="2"/>
      <c r="C804" s="10"/>
      <c r="D804" s="4"/>
      <c r="E804" s="5"/>
      <c r="F804" s="6"/>
      <c r="G804" s="7"/>
      <c r="H804" s="11"/>
      <c r="I804" s="12"/>
      <c r="J804" s="1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x14ac:dyDescent="0.45">
      <c r="A805" s="24"/>
      <c r="B805" s="2"/>
      <c r="C805" s="10"/>
      <c r="D805" s="4"/>
      <c r="E805" s="5"/>
      <c r="F805" s="6"/>
      <c r="G805" s="7"/>
      <c r="H805" s="11"/>
      <c r="I805" s="12"/>
      <c r="J805" s="1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x14ac:dyDescent="0.45">
      <c r="A806" s="24"/>
      <c r="B806" s="2"/>
      <c r="C806" s="10"/>
      <c r="D806" s="4"/>
      <c r="E806" s="5"/>
      <c r="F806" s="6"/>
      <c r="G806" s="7"/>
      <c r="H806" s="11"/>
      <c r="I806" s="12"/>
      <c r="J806" s="1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x14ac:dyDescent="0.45">
      <c r="A807" s="24"/>
      <c r="B807" s="2"/>
      <c r="C807" s="10"/>
      <c r="D807" s="4"/>
      <c r="E807" s="5"/>
      <c r="F807" s="6"/>
      <c r="G807" s="7"/>
      <c r="H807" s="11"/>
      <c r="I807" s="12"/>
      <c r="J807" s="1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x14ac:dyDescent="0.45">
      <c r="A808" s="24"/>
      <c r="B808" s="2"/>
      <c r="C808" s="10"/>
      <c r="D808" s="4"/>
      <c r="E808" s="5"/>
      <c r="F808" s="6"/>
      <c r="G808" s="7"/>
      <c r="H808" s="11"/>
      <c r="I808" s="12"/>
      <c r="J808" s="1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x14ac:dyDescent="0.45">
      <c r="A809" s="24"/>
      <c r="B809" s="2"/>
      <c r="C809" s="10"/>
      <c r="D809" s="4"/>
      <c r="E809" s="5"/>
      <c r="F809" s="6"/>
      <c r="G809" s="7"/>
      <c r="H809" s="11"/>
      <c r="I809" s="12"/>
      <c r="J809" s="1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x14ac:dyDescent="0.45">
      <c r="A810" s="24"/>
      <c r="B810" s="2"/>
      <c r="C810" s="10"/>
      <c r="D810" s="4"/>
      <c r="E810" s="5"/>
      <c r="F810" s="6"/>
      <c r="G810" s="7"/>
      <c r="H810" s="11"/>
      <c r="I810" s="12"/>
      <c r="J810" s="1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x14ac:dyDescent="0.45">
      <c r="A811" s="24"/>
      <c r="B811" s="2"/>
      <c r="C811" s="10"/>
      <c r="D811" s="4"/>
      <c r="E811" s="5"/>
      <c r="F811" s="6"/>
      <c r="G811" s="7"/>
      <c r="H811" s="11"/>
      <c r="I811" s="12"/>
      <c r="J811" s="1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x14ac:dyDescent="0.45">
      <c r="A812" s="24"/>
      <c r="B812" s="2"/>
      <c r="C812" s="10"/>
      <c r="D812" s="4"/>
      <c r="E812" s="5"/>
      <c r="F812" s="6"/>
      <c r="G812" s="7"/>
      <c r="H812" s="11"/>
      <c r="I812" s="12"/>
      <c r="J812" s="1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x14ac:dyDescent="0.45">
      <c r="A813" s="24"/>
      <c r="B813" s="2"/>
      <c r="C813" s="10"/>
      <c r="D813" s="4"/>
      <c r="E813" s="5"/>
      <c r="F813" s="6"/>
      <c r="G813" s="7"/>
      <c r="H813" s="11"/>
      <c r="I813" s="12"/>
      <c r="J813" s="1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x14ac:dyDescent="0.45">
      <c r="A814" s="24"/>
      <c r="B814" s="2"/>
      <c r="C814" s="10"/>
      <c r="D814" s="4"/>
      <c r="E814" s="5"/>
      <c r="F814" s="6"/>
      <c r="G814" s="7"/>
      <c r="H814" s="11"/>
      <c r="I814" s="12"/>
      <c r="J814" s="1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x14ac:dyDescent="0.45">
      <c r="A815" s="24"/>
      <c r="B815" s="2"/>
      <c r="C815" s="10"/>
      <c r="D815" s="4"/>
      <c r="E815" s="5"/>
      <c r="F815" s="6"/>
      <c r="G815" s="7"/>
      <c r="H815" s="11"/>
      <c r="I815" s="12"/>
      <c r="J815" s="1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x14ac:dyDescent="0.45">
      <c r="A816" s="24"/>
      <c r="B816" s="2"/>
      <c r="C816" s="10"/>
      <c r="D816" s="4"/>
      <c r="E816" s="5"/>
      <c r="F816" s="6"/>
      <c r="G816" s="7"/>
      <c r="H816" s="11"/>
      <c r="I816" s="12"/>
      <c r="J816" s="1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x14ac:dyDescent="0.45">
      <c r="A817" s="24"/>
      <c r="B817" s="2"/>
      <c r="C817" s="10"/>
      <c r="D817" s="4"/>
      <c r="E817" s="5"/>
      <c r="F817" s="6"/>
      <c r="G817" s="7"/>
      <c r="H817" s="11"/>
      <c r="I817" s="12"/>
      <c r="J817" s="1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x14ac:dyDescent="0.45">
      <c r="A818" s="24"/>
      <c r="B818" s="2"/>
      <c r="C818" s="10"/>
      <c r="D818" s="4"/>
      <c r="E818" s="5"/>
      <c r="F818" s="6"/>
      <c r="G818" s="7"/>
      <c r="H818" s="11"/>
      <c r="I818" s="12"/>
      <c r="J818" s="1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x14ac:dyDescent="0.45">
      <c r="A819" s="24"/>
      <c r="B819" s="2"/>
      <c r="C819" s="10"/>
      <c r="D819" s="4"/>
      <c r="E819" s="5"/>
      <c r="F819" s="6"/>
      <c r="G819" s="7"/>
      <c r="H819" s="11"/>
      <c r="I819" s="12"/>
      <c r="J819" s="1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x14ac:dyDescent="0.45">
      <c r="A820" s="24"/>
      <c r="B820" s="2"/>
      <c r="C820" s="10"/>
      <c r="D820" s="4"/>
      <c r="E820" s="5"/>
      <c r="F820" s="6"/>
      <c r="G820" s="7"/>
      <c r="H820" s="11"/>
      <c r="I820" s="12"/>
      <c r="J820" s="1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x14ac:dyDescent="0.45">
      <c r="A821" s="24"/>
      <c r="B821" s="2"/>
      <c r="C821" s="10"/>
      <c r="D821" s="4"/>
      <c r="E821" s="5"/>
      <c r="F821" s="6"/>
      <c r="G821" s="7"/>
      <c r="H821" s="11"/>
      <c r="I821" s="12"/>
      <c r="J821" s="1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x14ac:dyDescent="0.45">
      <c r="A822" s="24"/>
      <c r="B822" s="2"/>
      <c r="C822" s="10"/>
      <c r="D822" s="4"/>
      <c r="E822" s="5"/>
      <c r="F822" s="6"/>
      <c r="G822" s="7"/>
      <c r="H822" s="11"/>
      <c r="I822" s="12"/>
      <c r="J822" s="1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x14ac:dyDescent="0.45">
      <c r="A823" s="24"/>
      <c r="B823" s="2"/>
      <c r="C823" s="10"/>
      <c r="D823" s="4"/>
      <c r="E823" s="5"/>
      <c r="F823" s="6"/>
      <c r="G823" s="7"/>
      <c r="H823" s="11"/>
      <c r="I823" s="12"/>
      <c r="J823" s="1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x14ac:dyDescent="0.45">
      <c r="A824" s="24"/>
      <c r="B824" s="2"/>
      <c r="C824" s="10"/>
      <c r="D824" s="4"/>
      <c r="E824" s="5"/>
      <c r="F824" s="6"/>
      <c r="G824" s="7"/>
      <c r="H824" s="11"/>
      <c r="I824" s="12"/>
      <c r="J824" s="1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x14ac:dyDescent="0.45">
      <c r="A825" s="24"/>
      <c r="B825" s="2"/>
      <c r="C825" s="10"/>
      <c r="D825" s="4"/>
      <c r="E825" s="5"/>
      <c r="F825" s="6"/>
      <c r="G825" s="7"/>
      <c r="H825" s="11"/>
      <c r="I825" s="12"/>
      <c r="J825" s="1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x14ac:dyDescent="0.45">
      <c r="A826" s="24"/>
      <c r="B826" s="2"/>
      <c r="C826" s="10"/>
      <c r="D826" s="4"/>
      <c r="E826" s="5"/>
      <c r="F826" s="6"/>
      <c r="G826" s="7"/>
      <c r="H826" s="11"/>
      <c r="I826" s="12"/>
      <c r="J826" s="1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x14ac:dyDescent="0.45">
      <c r="A827" s="24"/>
      <c r="B827" s="2"/>
      <c r="C827" s="10"/>
      <c r="D827" s="4"/>
      <c r="E827" s="5"/>
      <c r="F827" s="6"/>
      <c r="G827" s="7"/>
      <c r="H827" s="11"/>
      <c r="I827" s="12"/>
      <c r="J827" s="1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x14ac:dyDescent="0.45">
      <c r="A828" s="24"/>
      <c r="B828" s="2"/>
      <c r="C828" s="10"/>
      <c r="D828" s="4"/>
      <c r="E828" s="5"/>
      <c r="F828" s="6"/>
      <c r="G828" s="7"/>
      <c r="H828" s="11"/>
      <c r="I828" s="12"/>
      <c r="J828" s="1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x14ac:dyDescent="0.45">
      <c r="A829" s="24"/>
      <c r="B829" s="2"/>
      <c r="C829" s="10"/>
      <c r="D829" s="4"/>
      <c r="E829" s="5"/>
      <c r="F829" s="6"/>
      <c r="G829" s="7"/>
      <c r="H829" s="11"/>
      <c r="I829" s="12"/>
      <c r="J829" s="1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x14ac:dyDescent="0.45">
      <c r="A830" s="24"/>
      <c r="B830" s="2"/>
      <c r="C830" s="10"/>
      <c r="D830" s="4"/>
      <c r="E830" s="5"/>
      <c r="F830" s="6"/>
      <c r="G830" s="7"/>
      <c r="H830" s="11"/>
      <c r="I830" s="12"/>
      <c r="J830" s="1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x14ac:dyDescent="0.45">
      <c r="A831" s="24"/>
      <c r="B831" s="2"/>
      <c r="C831" s="10"/>
      <c r="D831" s="4"/>
      <c r="E831" s="5"/>
      <c r="F831" s="6"/>
      <c r="G831" s="7"/>
      <c r="H831" s="11"/>
      <c r="I831" s="12"/>
      <c r="J831" s="1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x14ac:dyDescent="0.45">
      <c r="A832" s="24"/>
      <c r="B832" s="2"/>
      <c r="C832" s="10"/>
      <c r="D832" s="4"/>
      <c r="E832" s="5"/>
      <c r="F832" s="6"/>
      <c r="G832" s="7"/>
      <c r="H832" s="11"/>
      <c r="I832" s="12"/>
      <c r="J832" s="1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x14ac:dyDescent="0.45">
      <c r="A833" s="24"/>
      <c r="B833" s="2"/>
      <c r="C833" s="10"/>
      <c r="D833" s="4"/>
      <c r="E833" s="5"/>
      <c r="F833" s="6"/>
      <c r="G833" s="7"/>
      <c r="H833" s="11"/>
      <c r="I833" s="12"/>
      <c r="J833" s="1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x14ac:dyDescent="0.45">
      <c r="A834" s="24"/>
      <c r="B834" s="2"/>
      <c r="C834" s="10"/>
      <c r="D834" s="4"/>
      <c r="E834" s="5"/>
      <c r="F834" s="6"/>
      <c r="G834" s="7"/>
      <c r="H834" s="11"/>
      <c r="I834" s="12"/>
      <c r="J834" s="1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x14ac:dyDescent="0.45">
      <c r="A835" s="24"/>
      <c r="B835" s="2"/>
      <c r="C835" s="10"/>
      <c r="D835" s="4"/>
      <c r="E835" s="5"/>
      <c r="F835" s="6"/>
      <c r="G835" s="7"/>
      <c r="H835" s="11"/>
      <c r="I835" s="12"/>
      <c r="J835" s="1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x14ac:dyDescent="0.45">
      <c r="A836" s="24"/>
      <c r="B836" s="2"/>
      <c r="C836" s="10"/>
      <c r="D836" s="4"/>
      <c r="E836" s="5"/>
      <c r="F836" s="6"/>
      <c r="G836" s="7"/>
      <c r="H836" s="11"/>
      <c r="I836" s="12"/>
      <c r="J836" s="1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x14ac:dyDescent="0.45">
      <c r="A837" s="24"/>
      <c r="B837" s="2"/>
      <c r="C837" s="10"/>
      <c r="D837" s="4"/>
      <c r="E837" s="5"/>
      <c r="F837" s="6"/>
      <c r="G837" s="7"/>
      <c r="H837" s="11"/>
      <c r="I837" s="12"/>
      <c r="J837" s="1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x14ac:dyDescent="0.45">
      <c r="A838" s="24"/>
      <c r="B838" s="2"/>
      <c r="C838" s="10"/>
      <c r="D838" s="4"/>
      <c r="E838" s="5"/>
      <c r="F838" s="6"/>
      <c r="G838" s="7"/>
      <c r="H838" s="11"/>
      <c r="I838" s="12"/>
      <c r="J838" s="1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x14ac:dyDescent="0.45">
      <c r="A839" s="24"/>
      <c r="B839" s="2"/>
      <c r="C839" s="10"/>
      <c r="D839" s="4"/>
      <c r="E839" s="5"/>
      <c r="F839" s="6"/>
      <c r="G839" s="7"/>
      <c r="H839" s="11"/>
      <c r="I839" s="12"/>
      <c r="J839" s="1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x14ac:dyDescent="0.45">
      <c r="A840" s="24"/>
      <c r="B840" s="2"/>
      <c r="C840" s="10"/>
      <c r="D840" s="4"/>
      <c r="E840" s="5"/>
      <c r="F840" s="6"/>
      <c r="G840" s="7"/>
      <c r="H840" s="11"/>
      <c r="I840" s="12"/>
      <c r="J840" s="1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x14ac:dyDescent="0.45">
      <c r="A841" s="24"/>
      <c r="B841" s="2"/>
      <c r="C841" s="10"/>
      <c r="D841" s="4"/>
      <c r="E841" s="5"/>
      <c r="F841" s="6"/>
      <c r="G841" s="7"/>
      <c r="H841" s="11"/>
      <c r="I841" s="12"/>
      <c r="J841" s="1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x14ac:dyDescent="0.45">
      <c r="A842" s="24"/>
      <c r="B842" s="2"/>
      <c r="C842" s="10"/>
      <c r="D842" s="4"/>
      <c r="E842" s="5"/>
      <c r="F842" s="6"/>
      <c r="G842" s="7"/>
      <c r="H842" s="11"/>
      <c r="I842" s="12"/>
      <c r="J842" s="1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x14ac:dyDescent="0.45">
      <c r="A843" s="24"/>
      <c r="B843" s="2"/>
      <c r="C843" s="10"/>
      <c r="D843" s="4"/>
      <c r="E843" s="5"/>
      <c r="F843" s="6"/>
      <c r="G843" s="7"/>
      <c r="H843" s="11"/>
      <c r="I843" s="12"/>
      <c r="J843" s="1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x14ac:dyDescent="0.45">
      <c r="A844" s="24"/>
      <c r="B844" s="2"/>
      <c r="C844" s="10"/>
      <c r="D844" s="4"/>
      <c r="E844" s="5"/>
      <c r="F844" s="6"/>
      <c r="G844" s="7"/>
      <c r="H844" s="11"/>
      <c r="I844" s="12"/>
      <c r="J844" s="1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x14ac:dyDescent="0.45">
      <c r="A845" s="24"/>
      <c r="B845" s="2"/>
      <c r="C845" s="10"/>
      <c r="D845" s="4"/>
      <c r="E845" s="5"/>
      <c r="F845" s="6"/>
      <c r="G845" s="7"/>
      <c r="H845" s="11"/>
      <c r="I845" s="12"/>
      <c r="J845" s="1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x14ac:dyDescent="0.45">
      <c r="A846" s="24"/>
      <c r="B846" s="2"/>
      <c r="C846" s="10"/>
      <c r="D846" s="4"/>
      <c r="E846" s="5"/>
      <c r="F846" s="6"/>
      <c r="G846" s="7"/>
      <c r="H846" s="11"/>
      <c r="I846" s="12"/>
      <c r="J846" s="1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x14ac:dyDescent="0.45">
      <c r="A847" s="24"/>
      <c r="B847" s="2"/>
      <c r="C847" s="10"/>
      <c r="D847" s="4"/>
      <c r="E847" s="5"/>
      <c r="F847" s="6"/>
      <c r="G847" s="7"/>
      <c r="H847" s="11"/>
      <c r="I847" s="12"/>
      <c r="J847" s="1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x14ac:dyDescent="0.45">
      <c r="A848" s="24"/>
      <c r="B848" s="2"/>
      <c r="C848" s="10"/>
      <c r="D848" s="4"/>
      <c r="E848" s="5"/>
      <c r="F848" s="6"/>
      <c r="G848" s="7"/>
      <c r="H848" s="11"/>
      <c r="I848" s="12"/>
      <c r="J848" s="1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x14ac:dyDescent="0.45">
      <c r="A849" s="24"/>
      <c r="B849" s="2"/>
      <c r="C849" s="10"/>
      <c r="D849" s="4"/>
      <c r="E849" s="5"/>
      <c r="F849" s="6"/>
      <c r="G849" s="7"/>
      <c r="H849" s="11"/>
      <c r="I849" s="12"/>
      <c r="J849" s="1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x14ac:dyDescent="0.45">
      <c r="A850" s="24"/>
      <c r="B850" s="2"/>
      <c r="C850" s="10"/>
      <c r="D850" s="4"/>
      <c r="E850" s="5"/>
      <c r="F850" s="6"/>
      <c r="G850" s="7"/>
      <c r="H850" s="11"/>
      <c r="I850" s="12"/>
      <c r="J850" s="1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x14ac:dyDescent="0.45">
      <c r="A851" s="24"/>
      <c r="B851" s="2"/>
      <c r="C851" s="10"/>
      <c r="D851" s="4"/>
      <c r="E851" s="5"/>
      <c r="F851" s="6"/>
      <c r="G851" s="7"/>
      <c r="H851" s="11"/>
      <c r="I851" s="12"/>
      <c r="J851" s="1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x14ac:dyDescent="0.45">
      <c r="A852" s="24"/>
      <c r="B852" s="2"/>
      <c r="C852" s="10"/>
      <c r="D852" s="4"/>
      <c r="E852" s="5"/>
      <c r="F852" s="6"/>
      <c r="G852" s="7"/>
      <c r="H852" s="11"/>
      <c r="I852" s="12"/>
      <c r="J852" s="1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x14ac:dyDescent="0.45">
      <c r="A853" s="24"/>
      <c r="B853" s="2"/>
      <c r="C853" s="10"/>
      <c r="D853" s="4"/>
      <c r="E853" s="5"/>
      <c r="F853" s="6"/>
      <c r="G853" s="7"/>
      <c r="H853" s="11"/>
      <c r="I853" s="12"/>
      <c r="J853" s="1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x14ac:dyDescent="0.45">
      <c r="A854" s="24"/>
      <c r="B854" s="2"/>
      <c r="C854" s="10"/>
      <c r="D854" s="4"/>
      <c r="E854" s="5"/>
      <c r="F854" s="6"/>
      <c r="G854" s="7"/>
      <c r="H854" s="11"/>
      <c r="I854" s="12"/>
      <c r="J854" s="1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x14ac:dyDescent="0.45">
      <c r="A855" s="24"/>
      <c r="B855" s="2"/>
      <c r="C855" s="10"/>
      <c r="D855" s="4"/>
      <c r="E855" s="5"/>
      <c r="F855" s="6"/>
      <c r="G855" s="7"/>
      <c r="H855" s="11"/>
      <c r="I855" s="12"/>
      <c r="J855" s="1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x14ac:dyDescent="0.45">
      <c r="A856" s="24"/>
      <c r="B856" s="2"/>
      <c r="C856" s="10"/>
      <c r="D856" s="4"/>
      <c r="E856" s="5"/>
      <c r="F856" s="6"/>
      <c r="G856" s="7"/>
      <c r="H856" s="11"/>
      <c r="I856" s="12"/>
      <c r="J856" s="1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x14ac:dyDescent="0.45">
      <c r="A857" s="24"/>
      <c r="B857" s="2"/>
      <c r="C857" s="10"/>
      <c r="D857" s="4"/>
      <c r="E857" s="5"/>
      <c r="F857" s="6"/>
      <c r="G857" s="7"/>
      <c r="H857" s="11"/>
      <c r="I857" s="12"/>
      <c r="J857" s="1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x14ac:dyDescent="0.45">
      <c r="A858" s="24"/>
      <c r="B858" s="2"/>
      <c r="C858" s="10"/>
      <c r="D858" s="4"/>
      <c r="E858" s="5"/>
      <c r="F858" s="6"/>
      <c r="G858" s="7"/>
      <c r="H858" s="11"/>
      <c r="I858" s="12"/>
      <c r="J858" s="1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x14ac:dyDescent="0.45">
      <c r="A859" s="24"/>
      <c r="B859" s="2"/>
      <c r="C859" s="10"/>
      <c r="D859" s="4"/>
      <c r="E859" s="5"/>
      <c r="F859" s="6"/>
      <c r="G859" s="7"/>
      <c r="H859" s="11"/>
      <c r="I859" s="12"/>
      <c r="J859" s="1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x14ac:dyDescent="0.45">
      <c r="A860" s="24"/>
      <c r="B860" s="2"/>
      <c r="C860" s="10"/>
      <c r="D860" s="4"/>
      <c r="E860" s="5"/>
      <c r="F860" s="6"/>
      <c r="G860" s="7"/>
      <c r="H860" s="11"/>
      <c r="I860" s="12"/>
      <c r="J860" s="1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x14ac:dyDescent="0.45">
      <c r="A861" s="24"/>
      <c r="B861" s="2"/>
      <c r="C861" s="10"/>
      <c r="D861" s="4"/>
      <c r="E861" s="5"/>
      <c r="F861" s="6"/>
      <c r="G861" s="7"/>
      <c r="H861" s="11"/>
      <c r="I861" s="12"/>
      <c r="J861" s="1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x14ac:dyDescent="0.45">
      <c r="A862" s="24"/>
      <c r="B862" s="2"/>
      <c r="C862" s="10"/>
      <c r="D862" s="4"/>
      <c r="E862" s="5"/>
      <c r="F862" s="6"/>
      <c r="G862" s="7"/>
      <c r="H862" s="11"/>
      <c r="I862" s="12"/>
      <c r="J862" s="1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x14ac:dyDescent="0.45">
      <c r="A863" s="24"/>
      <c r="B863" s="2"/>
      <c r="C863" s="10"/>
      <c r="D863" s="4"/>
      <c r="E863" s="5"/>
      <c r="F863" s="6"/>
      <c r="G863" s="7"/>
      <c r="H863" s="11"/>
      <c r="I863" s="12"/>
      <c r="J863" s="1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x14ac:dyDescent="0.45">
      <c r="A864" s="24"/>
      <c r="B864" s="2"/>
      <c r="C864" s="10"/>
      <c r="D864" s="4"/>
      <c r="E864" s="5"/>
      <c r="F864" s="6"/>
      <c r="G864" s="7"/>
      <c r="H864" s="11"/>
      <c r="I864" s="12"/>
      <c r="J864" s="1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x14ac:dyDescent="0.45">
      <c r="A865" s="24"/>
      <c r="B865" s="2"/>
      <c r="C865" s="10"/>
      <c r="D865" s="4"/>
      <c r="E865" s="5"/>
      <c r="F865" s="6"/>
      <c r="G865" s="7"/>
      <c r="H865" s="11"/>
      <c r="I865" s="12"/>
      <c r="J865" s="1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x14ac:dyDescent="0.45">
      <c r="A866" s="24"/>
      <c r="B866" s="2"/>
      <c r="C866" s="10"/>
      <c r="D866" s="4"/>
      <c r="E866" s="5"/>
      <c r="F866" s="6"/>
      <c r="G866" s="7"/>
      <c r="H866" s="11"/>
      <c r="I866" s="12"/>
      <c r="J866" s="1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x14ac:dyDescent="0.45">
      <c r="A867" s="24"/>
      <c r="B867" s="2"/>
      <c r="C867" s="10"/>
      <c r="D867" s="4"/>
      <c r="E867" s="5"/>
      <c r="F867" s="6"/>
      <c r="G867" s="7"/>
      <c r="H867" s="11"/>
      <c r="I867" s="12"/>
      <c r="J867" s="1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x14ac:dyDescent="0.45">
      <c r="A868" s="24"/>
      <c r="B868" s="2"/>
      <c r="C868" s="10"/>
      <c r="D868" s="4"/>
      <c r="E868" s="5"/>
      <c r="F868" s="6"/>
      <c r="G868" s="7"/>
      <c r="H868" s="11"/>
      <c r="I868" s="12"/>
      <c r="J868" s="1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x14ac:dyDescent="0.45">
      <c r="A869" s="24"/>
      <c r="B869" s="2"/>
      <c r="C869" s="10"/>
      <c r="D869" s="4"/>
      <c r="E869" s="5"/>
      <c r="F869" s="6"/>
      <c r="G869" s="7"/>
      <c r="H869" s="11"/>
      <c r="I869" s="12"/>
      <c r="J869" s="1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x14ac:dyDescent="0.45">
      <c r="A870" s="24"/>
      <c r="B870" s="2"/>
      <c r="C870" s="10"/>
      <c r="D870" s="4"/>
      <c r="E870" s="5"/>
      <c r="F870" s="6"/>
      <c r="G870" s="7"/>
      <c r="H870" s="11"/>
      <c r="I870" s="12"/>
      <c r="J870" s="1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x14ac:dyDescent="0.45">
      <c r="A871" s="24"/>
      <c r="B871" s="2"/>
      <c r="C871" s="10"/>
      <c r="D871" s="4"/>
      <c r="E871" s="5"/>
      <c r="F871" s="6"/>
      <c r="G871" s="7"/>
      <c r="H871" s="11"/>
      <c r="I871" s="12"/>
      <c r="J871" s="1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x14ac:dyDescent="0.45">
      <c r="A872" s="24"/>
      <c r="B872" s="2"/>
      <c r="C872" s="10"/>
      <c r="D872" s="4"/>
      <c r="E872" s="5"/>
      <c r="F872" s="6"/>
      <c r="G872" s="7"/>
      <c r="H872" s="11"/>
      <c r="I872" s="12"/>
      <c r="J872" s="1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x14ac:dyDescent="0.45">
      <c r="A873" s="24"/>
      <c r="B873" s="2"/>
      <c r="C873" s="10"/>
      <c r="D873" s="4"/>
      <c r="E873" s="5"/>
      <c r="F873" s="6"/>
      <c r="G873" s="7"/>
      <c r="H873" s="11"/>
      <c r="I873" s="12"/>
      <c r="J873" s="1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x14ac:dyDescent="0.45">
      <c r="A874" s="24"/>
      <c r="B874" s="2"/>
      <c r="C874" s="10"/>
      <c r="D874" s="4"/>
      <c r="E874" s="5"/>
      <c r="F874" s="6"/>
      <c r="G874" s="7"/>
      <c r="H874" s="11"/>
      <c r="I874" s="12"/>
      <c r="J874" s="1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x14ac:dyDescent="0.45">
      <c r="A875" s="24"/>
      <c r="B875" s="2"/>
      <c r="C875" s="10"/>
      <c r="D875" s="4"/>
      <c r="E875" s="5"/>
      <c r="F875" s="6"/>
      <c r="G875" s="7"/>
      <c r="H875" s="11"/>
      <c r="I875" s="12"/>
      <c r="J875" s="1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x14ac:dyDescent="0.45">
      <c r="A876" s="24"/>
      <c r="B876" s="2"/>
      <c r="C876" s="10"/>
      <c r="D876" s="4"/>
      <c r="E876" s="5"/>
      <c r="F876" s="6"/>
      <c r="G876" s="7"/>
      <c r="H876" s="11"/>
      <c r="I876" s="12"/>
      <c r="J876" s="1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x14ac:dyDescent="0.45">
      <c r="A877" s="24"/>
      <c r="B877" s="2"/>
      <c r="C877" s="10"/>
      <c r="D877" s="4"/>
      <c r="E877" s="5"/>
      <c r="F877" s="6"/>
      <c r="G877" s="7"/>
      <c r="H877" s="11"/>
      <c r="I877" s="12"/>
      <c r="J877" s="1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x14ac:dyDescent="0.45">
      <c r="A878" s="24"/>
      <c r="B878" s="2"/>
      <c r="C878" s="10"/>
      <c r="D878" s="4"/>
      <c r="E878" s="5"/>
      <c r="F878" s="6"/>
      <c r="G878" s="7"/>
      <c r="H878" s="11"/>
      <c r="I878" s="12"/>
      <c r="J878" s="1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x14ac:dyDescent="0.45">
      <c r="A879" s="24"/>
      <c r="B879" s="2"/>
      <c r="C879" s="10"/>
      <c r="D879" s="4"/>
      <c r="E879" s="5"/>
      <c r="F879" s="6"/>
      <c r="G879" s="7"/>
      <c r="H879" s="11"/>
      <c r="I879" s="12"/>
      <c r="J879" s="1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x14ac:dyDescent="0.45">
      <c r="A880" s="24"/>
      <c r="B880" s="2"/>
      <c r="C880" s="10"/>
      <c r="D880" s="4"/>
      <c r="E880" s="5"/>
      <c r="F880" s="6"/>
      <c r="G880" s="7"/>
      <c r="H880" s="11"/>
      <c r="I880" s="12"/>
      <c r="J880" s="1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x14ac:dyDescent="0.45">
      <c r="A881" s="24"/>
      <c r="B881" s="2"/>
      <c r="C881" s="10"/>
      <c r="D881" s="4"/>
      <c r="E881" s="5"/>
      <c r="F881" s="6"/>
      <c r="G881" s="7"/>
      <c r="H881" s="11"/>
      <c r="I881" s="12"/>
      <c r="J881" s="1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x14ac:dyDescent="0.45">
      <c r="A882" s="24"/>
      <c r="B882" s="2"/>
      <c r="C882" s="10"/>
      <c r="D882" s="4"/>
      <c r="E882" s="5"/>
      <c r="F882" s="6"/>
      <c r="G882" s="7"/>
      <c r="H882" s="11"/>
      <c r="I882" s="12"/>
      <c r="J882" s="1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x14ac:dyDescent="0.45">
      <c r="A883" s="24"/>
      <c r="B883" s="2"/>
      <c r="C883" s="10"/>
      <c r="D883" s="4"/>
      <c r="E883" s="5"/>
      <c r="F883" s="6"/>
      <c r="G883" s="7"/>
      <c r="H883" s="11"/>
      <c r="I883" s="12"/>
      <c r="J883" s="1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x14ac:dyDescent="0.45">
      <c r="A884" s="24"/>
      <c r="B884" s="2"/>
      <c r="C884" s="10"/>
      <c r="D884" s="4"/>
      <c r="E884" s="5"/>
      <c r="F884" s="6"/>
      <c r="G884" s="7"/>
      <c r="H884" s="11"/>
      <c r="I884" s="12"/>
      <c r="J884" s="1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x14ac:dyDescent="0.45">
      <c r="A885" s="24"/>
      <c r="B885" s="2"/>
      <c r="C885" s="10"/>
      <c r="D885" s="4"/>
      <c r="E885" s="5"/>
      <c r="F885" s="6"/>
      <c r="G885" s="7"/>
      <c r="H885" s="11"/>
      <c r="I885" s="12"/>
      <c r="J885" s="1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x14ac:dyDescent="0.45">
      <c r="A886" s="24"/>
      <c r="B886" s="2"/>
      <c r="C886" s="10"/>
      <c r="D886" s="4"/>
      <c r="E886" s="5"/>
      <c r="F886" s="6"/>
      <c r="G886" s="7"/>
      <c r="H886" s="11"/>
      <c r="I886" s="12"/>
      <c r="J886" s="1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x14ac:dyDescent="0.45">
      <c r="A887" s="24"/>
      <c r="B887" s="2"/>
      <c r="C887" s="10"/>
      <c r="D887" s="4"/>
      <c r="E887" s="5"/>
      <c r="F887" s="6"/>
      <c r="G887" s="7"/>
      <c r="H887" s="11"/>
      <c r="I887" s="12"/>
      <c r="J887" s="1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x14ac:dyDescent="0.45">
      <c r="A888" s="24"/>
      <c r="B888" s="2"/>
      <c r="C888" s="10"/>
      <c r="D888" s="4"/>
      <c r="E888" s="5"/>
      <c r="F888" s="6"/>
      <c r="G888" s="7"/>
      <c r="H888" s="11"/>
      <c r="I888" s="12"/>
      <c r="J888" s="1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x14ac:dyDescent="0.45">
      <c r="A889" s="24"/>
      <c r="B889" s="2"/>
      <c r="C889" s="10"/>
      <c r="D889" s="4"/>
      <c r="E889" s="5"/>
      <c r="F889" s="6"/>
      <c r="G889" s="7"/>
      <c r="H889" s="11"/>
      <c r="I889" s="12"/>
      <c r="J889" s="1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x14ac:dyDescent="0.45">
      <c r="A890" s="24"/>
      <c r="B890" s="2"/>
      <c r="C890" s="10"/>
      <c r="D890" s="4"/>
      <c r="E890" s="5"/>
      <c r="F890" s="6"/>
      <c r="G890" s="7"/>
      <c r="H890" s="11"/>
      <c r="I890" s="12"/>
      <c r="J890" s="1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x14ac:dyDescent="0.45">
      <c r="A891" s="24"/>
      <c r="B891" s="2"/>
      <c r="C891" s="10"/>
      <c r="D891" s="4"/>
      <c r="E891" s="5"/>
      <c r="F891" s="6"/>
      <c r="G891" s="7"/>
      <c r="H891" s="11"/>
      <c r="I891" s="12"/>
      <c r="J891" s="1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x14ac:dyDescent="0.45">
      <c r="A892" s="24"/>
      <c r="B892" s="2"/>
      <c r="C892" s="10"/>
      <c r="D892" s="4"/>
      <c r="E892" s="5"/>
      <c r="F892" s="6"/>
      <c r="G892" s="7"/>
      <c r="H892" s="11"/>
      <c r="I892" s="12"/>
      <c r="J892" s="1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x14ac:dyDescent="0.45">
      <c r="A893" s="24"/>
      <c r="B893" s="2"/>
      <c r="C893" s="10"/>
      <c r="D893" s="4"/>
      <c r="E893" s="5"/>
      <c r="F893" s="6"/>
      <c r="G893" s="7"/>
      <c r="H893" s="11"/>
      <c r="I893" s="12"/>
      <c r="J893" s="1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x14ac:dyDescent="0.45">
      <c r="A894" s="24"/>
      <c r="B894" s="2"/>
      <c r="C894" s="10"/>
      <c r="D894" s="4"/>
      <c r="E894" s="5"/>
      <c r="F894" s="6"/>
      <c r="G894" s="7"/>
      <c r="H894" s="11"/>
      <c r="I894" s="12"/>
      <c r="J894" s="1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x14ac:dyDescent="0.45">
      <c r="A895" s="24"/>
      <c r="B895" s="2"/>
      <c r="C895" s="10"/>
      <c r="D895" s="4"/>
      <c r="E895" s="5"/>
      <c r="F895" s="6"/>
      <c r="G895" s="7"/>
      <c r="H895" s="11"/>
      <c r="I895" s="12"/>
      <c r="J895" s="1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x14ac:dyDescent="0.45">
      <c r="A896" s="24"/>
      <c r="B896" s="2"/>
      <c r="C896" s="10"/>
      <c r="D896" s="4"/>
      <c r="E896" s="5"/>
      <c r="F896" s="6"/>
      <c r="G896" s="7"/>
      <c r="H896" s="11"/>
      <c r="I896" s="12"/>
      <c r="J896" s="1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x14ac:dyDescent="0.45">
      <c r="A897" s="24"/>
      <c r="B897" s="2"/>
      <c r="C897" s="10"/>
      <c r="D897" s="4"/>
      <c r="E897" s="5"/>
      <c r="F897" s="6"/>
      <c r="G897" s="7"/>
      <c r="H897" s="11"/>
      <c r="I897" s="12"/>
      <c r="J897" s="1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x14ac:dyDescent="0.45">
      <c r="A898" s="24"/>
      <c r="B898" s="2"/>
      <c r="C898" s="10"/>
      <c r="D898" s="4"/>
      <c r="E898" s="5"/>
      <c r="F898" s="6"/>
      <c r="G898" s="7"/>
      <c r="H898" s="11"/>
      <c r="I898" s="12"/>
      <c r="J898" s="1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x14ac:dyDescent="0.45">
      <c r="A899" s="24"/>
      <c r="B899" s="2"/>
      <c r="C899" s="10"/>
      <c r="D899" s="4"/>
      <c r="E899" s="5"/>
      <c r="F899" s="6"/>
      <c r="G899" s="7"/>
      <c r="H899" s="11"/>
      <c r="I899" s="12"/>
      <c r="J899" s="1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x14ac:dyDescent="0.45">
      <c r="A900" s="24"/>
      <c r="B900" s="2"/>
      <c r="C900" s="10"/>
      <c r="D900" s="4"/>
      <c r="E900" s="5"/>
      <c r="F900" s="6"/>
      <c r="G900" s="7"/>
      <c r="H900" s="11"/>
      <c r="I900" s="12"/>
      <c r="J900" s="1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x14ac:dyDescent="0.45">
      <c r="A901" s="24"/>
      <c r="B901" s="2"/>
      <c r="C901" s="10"/>
      <c r="D901" s="4"/>
      <c r="E901" s="5"/>
      <c r="F901" s="6"/>
      <c r="G901" s="7"/>
      <c r="H901" s="11"/>
      <c r="I901" s="12"/>
      <c r="J901" s="1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x14ac:dyDescent="0.45">
      <c r="A902" s="24"/>
      <c r="B902" s="2"/>
      <c r="C902" s="10"/>
      <c r="D902" s="4"/>
      <c r="E902" s="5"/>
      <c r="F902" s="6"/>
      <c r="G902" s="7"/>
      <c r="H902" s="11"/>
      <c r="I902" s="12"/>
      <c r="J902" s="1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x14ac:dyDescent="0.45">
      <c r="A903" s="24"/>
      <c r="B903" s="2"/>
      <c r="C903" s="10"/>
      <c r="D903" s="4"/>
      <c r="E903" s="5"/>
      <c r="F903" s="6"/>
      <c r="G903" s="7"/>
      <c r="H903" s="11"/>
      <c r="I903" s="12"/>
      <c r="J903" s="1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x14ac:dyDescent="0.45">
      <c r="A904" s="24"/>
      <c r="B904" s="2"/>
      <c r="C904" s="10"/>
      <c r="D904" s="4"/>
      <c r="E904" s="5"/>
      <c r="F904" s="6"/>
      <c r="G904" s="7"/>
      <c r="H904" s="11"/>
      <c r="I904" s="12"/>
      <c r="J904" s="1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x14ac:dyDescent="0.45">
      <c r="A905" s="24"/>
      <c r="B905" s="2"/>
      <c r="C905" s="10"/>
      <c r="D905" s="4"/>
      <c r="E905" s="5"/>
      <c r="F905" s="6"/>
      <c r="G905" s="7"/>
      <c r="H905" s="11"/>
      <c r="I905" s="12"/>
      <c r="J905" s="1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x14ac:dyDescent="0.45">
      <c r="A906" s="24"/>
      <c r="B906" s="2"/>
      <c r="C906" s="10"/>
      <c r="D906" s="4"/>
      <c r="E906" s="5"/>
      <c r="F906" s="6"/>
      <c r="G906" s="7"/>
      <c r="H906" s="11"/>
      <c r="I906" s="12"/>
      <c r="J906" s="1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x14ac:dyDescent="0.45">
      <c r="A907" s="24"/>
      <c r="B907" s="2"/>
      <c r="C907" s="10"/>
      <c r="D907" s="4"/>
      <c r="E907" s="5"/>
      <c r="F907" s="6"/>
      <c r="G907" s="7"/>
      <c r="H907" s="11"/>
      <c r="I907" s="12"/>
      <c r="J907" s="1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x14ac:dyDescent="0.45">
      <c r="A908" s="24"/>
      <c r="B908" s="2"/>
      <c r="C908" s="10"/>
      <c r="D908" s="4"/>
      <c r="E908" s="5"/>
      <c r="F908" s="6"/>
      <c r="G908" s="7"/>
      <c r="H908" s="11"/>
      <c r="I908" s="12"/>
      <c r="J908" s="1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x14ac:dyDescent="0.45">
      <c r="A909" s="24"/>
      <c r="B909" s="2"/>
      <c r="C909" s="10"/>
      <c r="D909" s="4"/>
      <c r="E909" s="5"/>
      <c r="F909" s="6"/>
      <c r="G909" s="7"/>
      <c r="H909" s="11"/>
      <c r="I909" s="12"/>
      <c r="J909" s="1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x14ac:dyDescent="0.45">
      <c r="A910" s="24"/>
      <c r="B910" s="2"/>
      <c r="C910" s="10"/>
      <c r="D910" s="4"/>
      <c r="E910" s="5"/>
      <c r="F910" s="6"/>
      <c r="G910" s="7"/>
      <c r="H910" s="11"/>
      <c r="I910" s="12"/>
      <c r="J910" s="1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x14ac:dyDescent="0.45">
      <c r="A911" s="24"/>
      <c r="B911" s="2"/>
      <c r="C911" s="10"/>
      <c r="D911" s="4"/>
      <c r="E911" s="5"/>
      <c r="F911" s="6"/>
      <c r="G911" s="7"/>
      <c r="H911" s="11"/>
      <c r="I911" s="12"/>
      <c r="J911" s="1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x14ac:dyDescent="0.45">
      <c r="A912" s="24"/>
      <c r="B912" s="2"/>
      <c r="C912" s="10"/>
      <c r="D912" s="4"/>
      <c r="E912" s="5"/>
      <c r="F912" s="6"/>
      <c r="G912" s="7"/>
      <c r="H912" s="11"/>
      <c r="I912" s="12"/>
      <c r="J912" s="1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x14ac:dyDescent="0.45">
      <c r="A913" s="24"/>
      <c r="B913" s="2"/>
      <c r="C913" s="10"/>
      <c r="D913" s="4"/>
      <c r="E913" s="5"/>
      <c r="F913" s="6"/>
      <c r="G913" s="7"/>
      <c r="H913" s="11"/>
      <c r="I913" s="12"/>
      <c r="J913" s="1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x14ac:dyDescent="0.45">
      <c r="A914" s="24"/>
      <c r="B914" s="2"/>
      <c r="C914" s="10"/>
      <c r="D914" s="4"/>
      <c r="E914" s="5"/>
      <c r="F914" s="6"/>
      <c r="G914" s="7"/>
      <c r="H914" s="11"/>
      <c r="I914" s="12"/>
      <c r="J914" s="1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x14ac:dyDescent="0.45">
      <c r="A915" s="24"/>
      <c r="B915" s="2"/>
      <c r="C915" s="10"/>
      <c r="D915" s="4"/>
      <c r="E915" s="5"/>
      <c r="F915" s="6"/>
      <c r="G915" s="7"/>
      <c r="H915" s="11"/>
      <c r="I915" s="12"/>
      <c r="J915" s="1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x14ac:dyDescent="0.45">
      <c r="A916" s="24"/>
      <c r="B916" s="2"/>
      <c r="C916" s="10"/>
      <c r="D916" s="4"/>
      <c r="E916" s="5"/>
      <c r="F916" s="6"/>
      <c r="G916" s="7"/>
      <c r="H916" s="11"/>
      <c r="I916" s="12"/>
      <c r="J916" s="1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x14ac:dyDescent="0.45">
      <c r="A917" s="24"/>
      <c r="B917" s="2"/>
      <c r="C917" s="10"/>
      <c r="D917" s="4"/>
      <c r="E917" s="5"/>
      <c r="F917" s="6"/>
      <c r="G917" s="7"/>
      <c r="H917" s="11"/>
      <c r="I917" s="12"/>
      <c r="J917" s="1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x14ac:dyDescent="0.45">
      <c r="A918" s="24"/>
      <c r="B918" s="2"/>
      <c r="C918" s="10"/>
      <c r="D918" s="4"/>
      <c r="E918" s="5"/>
      <c r="F918" s="6"/>
      <c r="G918" s="7"/>
      <c r="H918" s="11"/>
      <c r="I918" s="12"/>
      <c r="J918" s="1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x14ac:dyDescent="0.45">
      <c r="A919" s="24"/>
      <c r="B919" s="2"/>
      <c r="C919" s="10"/>
      <c r="D919" s="4"/>
      <c r="E919" s="5"/>
      <c r="F919" s="6"/>
      <c r="G919" s="7"/>
      <c r="H919" s="11"/>
      <c r="I919" s="12"/>
      <c r="J919" s="1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x14ac:dyDescent="0.45">
      <c r="A920" s="24"/>
      <c r="B920" s="2"/>
      <c r="C920" s="10"/>
      <c r="D920" s="4"/>
      <c r="E920" s="5"/>
      <c r="F920" s="6"/>
      <c r="G920" s="7"/>
      <c r="H920" s="11"/>
      <c r="I920" s="12"/>
      <c r="J920" s="1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x14ac:dyDescent="0.45">
      <c r="A921" s="24"/>
      <c r="B921" s="2"/>
      <c r="C921" s="10"/>
      <c r="D921" s="4"/>
      <c r="E921" s="5"/>
      <c r="F921" s="6"/>
      <c r="G921" s="7"/>
      <c r="H921" s="11"/>
      <c r="I921" s="12"/>
      <c r="J921" s="1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x14ac:dyDescent="0.45">
      <c r="A922" s="24"/>
      <c r="B922" s="2"/>
      <c r="C922" s="10"/>
      <c r="D922" s="4"/>
      <c r="E922" s="5"/>
      <c r="F922" s="6"/>
      <c r="G922" s="7"/>
      <c r="H922" s="11"/>
      <c r="I922" s="12"/>
      <c r="J922" s="1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x14ac:dyDescent="0.45">
      <c r="A923" s="24"/>
      <c r="B923" s="2"/>
      <c r="C923" s="10"/>
      <c r="D923" s="4"/>
      <c r="E923" s="5"/>
      <c r="F923" s="6"/>
      <c r="G923" s="7"/>
      <c r="H923" s="11"/>
      <c r="I923" s="12"/>
      <c r="J923" s="1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x14ac:dyDescent="0.45">
      <c r="A924" s="24"/>
      <c r="B924" s="2"/>
      <c r="C924" s="10"/>
      <c r="D924" s="4"/>
      <c r="E924" s="5"/>
      <c r="F924" s="6"/>
      <c r="G924" s="7"/>
      <c r="H924" s="11"/>
      <c r="I924" s="12"/>
      <c r="J924" s="1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x14ac:dyDescent="0.45">
      <c r="A925" s="24"/>
      <c r="B925" s="2"/>
      <c r="C925" s="10"/>
      <c r="D925" s="4"/>
      <c r="E925" s="5"/>
      <c r="F925" s="6"/>
      <c r="G925" s="7"/>
      <c r="H925" s="11"/>
      <c r="I925" s="12"/>
      <c r="J925" s="1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x14ac:dyDescent="0.45">
      <c r="A926" s="24"/>
      <c r="B926" s="2"/>
      <c r="C926" s="10"/>
      <c r="D926" s="4"/>
      <c r="E926" s="5"/>
      <c r="F926" s="6"/>
      <c r="G926" s="7"/>
      <c r="H926" s="11"/>
      <c r="I926" s="12"/>
      <c r="J926" s="1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x14ac:dyDescent="0.45">
      <c r="A927" s="24"/>
      <c r="B927" s="2"/>
      <c r="C927" s="10"/>
      <c r="D927" s="4"/>
      <c r="E927" s="5"/>
      <c r="F927" s="6"/>
      <c r="G927" s="7"/>
      <c r="H927" s="11"/>
      <c r="I927" s="12"/>
      <c r="J927" s="1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x14ac:dyDescent="0.45">
      <c r="A928" s="24"/>
      <c r="B928" s="2"/>
      <c r="C928" s="10"/>
      <c r="D928" s="4"/>
      <c r="E928" s="5"/>
      <c r="F928" s="6"/>
      <c r="G928" s="7"/>
      <c r="H928" s="11"/>
      <c r="I928" s="12"/>
      <c r="J928" s="1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x14ac:dyDescent="0.45">
      <c r="A929" s="24"/>
      <c r="B929" s="2"/>
      <c r="C929" s="10"/>
      <c r="D929" s="4"/>
      <c r="E929" s="5"/>
      <c r="F929" s="6"/>
      <c r="G929" s="7"/>
      <c r="H929" s="11"/>
      <c r="I929" s="12"/>
      <c r="J929" s="1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x14ac:dyDescent="0.45">
      <c r="A930" s="24"/>
      <c r="B930" s="2"/>
      <c r="C930" s="10"/>
      <c r="D930" s="4"/>
      <c r="E930" s="5"/>
      <c r="F930" s="6"/>
      <c r="G930" s="7"/>
      <c r="H930" s="11"/>
      <c r="I930" s="12"/>
      <c r="J930" s="1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x14ac:dyDescent="0.45">
      <c r="A931" s="24"/>
      <c r="B931" s="2"/>
      <c r="C931" s="10"/>
      <c r="D931" s="4"/>
      <c r="E931" s="5"/>
      <c r="F931" s="6"/>
      <c r="G931" s="7"/>
      <c r="H931" s="11"/>
      <c r="I931" s="12"/>
      <c r="J931" s="1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x14ac:dyDescent="0.45">
      <c r="A932" s="24"/>
      <c r="B932" s="2"/>
      <c r="C932" s="10"/>
      <c r="D932" s="4"/>
      <c r="E932" s="5"/>
      <c r="F932" s="6"/>
      <c r="G932" s="7"/>
      <c r="H932" s="11"/>
      <c r="I932" s="12"/>
      <c r="J932" s="1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x14ac:dyDescent="0.45">
      <c r="A933" s="24"/>
      <c r="B933" s="2"/>
      <c r="C933" s="10"/>
      <c r="D933" s="4"/>
      <c r="E933" s="5"/>
      <c r="F933" s="6"/>
      <c r="G933" s="7"/>
      <c r="H933" s="11"/>
      <c r="I933" s="12"/>
      <c r="J933" s="1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x14ac:dyDescent="0.45">
      <c r="A934" s="24"/>
      <c r="B934" s="2"/>
      <c r="C934" s="10"/>
      <c r="D934" s="4"/>
      <c r="E934" s="5"/>
      <c r="F934" s="6"/>
      <c r="G934" s="7"/>
      <c r="H934" s="11"/>
      <c r="I934" s="12"/>
      <c r="J934" s="1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x14ac:dyDescent="0.45">
      <c r="A935" s="24"/>
      <c r="B935" s="2"/>
      <c r="C935" s="10"/>
      <c r="D935" s="4"/>
      <c r="E935" s="5"/>
      <c r="F935" s="6"/>
      <c r="G935" s="7"/>
      <c r="H935" s="11"/>
      <c r="I935" s="12"/>
      <c r="J935" s="1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x14ac:dyDescent="0.45">
      <c r="A936" s="24"/>
      <c r="B936" s="2"/>
      <c r="C936" s="10"/>
      <c r="D936" s="4"/>
      <c r="E936" s="5"/>
      <c r="F936" s="6"/>
      <c r="G936" s="7"/>
      <c r="H936" s="11"/>
      <c r="I936" s="12"/>
      <c r="J936" s="1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x14ac:dyDescent="0.45">
      <c r="A937" s="24"/>
      <c r="B937" s="2"/>
      <c r="C937" s="10"/>
      <c r="D937" s="4"/>
      <c r="E937" s="5"/>
      <c r="F937" s="6"/>
      <c r="G937" s="7"/>
      <c r="H937" s="11"/>
      <c r="I937" s="12"/>
      <c r="J937" s="1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x14ac:dyDescent="0.45">
      <c r="A938" s="24"/>
      <c r="B938" s="2"/>
      <c r="C938" s="10"/>
      <c r="D938" s="4"/>
      <c r="E938" s="5"/>
      <c r="F938" s="6"/>
      <c r="G938" s="7"/>
      <c r="H938" s="11"/>
      <c r="I938" s="12"/>
      <c r="J938" s="1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x14ac:dyDescent="0.45">
      <c r="A939" s="24"/>
      <c r="B939" s="2"/>
      <c r="C939" s="10"/>
      <c r="D939" s="4"/>
      <c r="E939" s="5"/>
      <c r="F939" s="6"/>
      <c r="G939" s="7"/>
      <c r="H939" s="11"/>
      <c r="I939" s="12"/>
      <c r="J939" s="1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x14ac:dyDescent="0.45">
      <c r="A940" s="24"/>
      <c r="B940" s="2"/>
      <c r="C940" s="10"/>
      <c r="D940" s="4"/>
      <c r="E940" s="5"/>
      <c r="F940" s="6"/>
      <c r="G940" s="7"/>
      <c r="H940" s="11"/>
      <c r="I940" s="12"/>
      <c r="J940" s="1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x14ac:dyDescent="0.45">
      <c r="A941" s="24"/>
      <c r="B941" s="2"/>
      <c r="C941" s="10"/>
      <c r="D941" s="4"/>
      <c r="E941" s="5"/>
      <c r="F941" s="6"/>
      <c r="G941" s="7"/>
      <c r="H941" s="11"/>
      <c r="I941" s="12"/>
      <c r="J941" s="1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x14ac:dyDescent="0.45">
      <c r="A942" s="24"/>
      <c r="B942" s="2"/>
      <c r="C942" s="10"/>
      <c r="D942" s="4"/>
      <c r="E942" s="5"/>
      <c r="F942" s="6"/>
      <c r="G942" s="7"/>
      <c r="H942" s="11"/>
      <c r="I942" s="12"/>
      <c r="J942" s="1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x14ac:dyDescent="0.45">
      <c r="A943" s="24"/>
      <c r="B943" s="2"/>
      <c r="C943" s="10"/>
      <c r="D943" s="4"/>
      <c r="E943" s="5"/>
      <c r="F943" s="6"/>
      <c r="G943" s="7"/>
      <c r="H943" s="11"/>
      <c r="I943" s="12"/>
      <c r="J943" s="1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x14ac:dyDescent="0.45">
      <c r="A944" s="24"/>
      <c r="B944" s="2"/>
      <c r="C944" s="10"/>
      <c r="D944" s="4"/>
      <c r="E944" s="5"/>
      <c r="F944" s="6"/>
      <c r="G944" s="7"/>
      <c r="H944" s="11"/>
      <c r="I944" s="12"/>
      <c r="J944" s="1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x14ac:dyDescent="0.45">
      <c r="A945" s="24"/>
      <c r="B945" s="2"/>
      <c r="C945" s="10"/>
      <c r="D945" s="4"/>
      <c r="E945" s="5"/>
      <c r="F945" s="6"/>
      <c r="G945" s="7"/>
      <c r="H945" s="11"/>
      <c r="I945" s="12"/>
      <c r="J945" s="1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x14ac:dyDescent="0.45">
      <c r="A946" s="24"/>
      <c r="B946" s="2"/>
      <c r="C946" s="10"/>
      <c r="D946" s="4"/>
      <c r="E946" s="5"/>
      <c r="F946" s="6"/>
      <c r="G946" s="7"/>
      <c r="H946" s="11"/>
      <c r="I946" s="12"/>
      <c r="J946" s="1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x14ac:dyDescent="0.45">
      <c r="A947" s="24"/>
      <c r="B947" s="2"/>
      <c r="C947" s="10"/>
      <c r="D947" s="4"/>
      <c r="E947" s="5"/>
      <c r="F947" s="6"/>
      <c r="G947" s="7"/>
      <c r="H947" s="11"/>
      <c r="I947" s="12"/>
      <c r="J947" s="1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x14ac:dyDescent="0.45">
      <c r="A948" s="24"/>
      <c r="B948" s="2"/>
      <c r="C948" s="10"/>
      <c r="D948" s="4"/>
      <c r="E948" s="5"/>
      <c r="F948" s="6"/>
      <c r="G948" s="7"/>
      <c r="H948" s="11"/>
      <c r="I948" s="12"/>
      <c r="J948" s="1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x14ac:dyDescent="0.45">
      <c r="A949" s="24"/>
      <c r="B949" s="2"/>
      <c r="C949" s="10"/>
      <c r="D949" s="4"/>
      <c r="E949" s="5"/>
      <c r="F949" s="6"/>
      <c r="G949" s="7"/>
      <c r="H949" s="11"/>
      <c r="I949" s="12"/>
      <c r="J949" s="1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x14ac:dyDescent="0.45">
      <c r="A950" s="24"/>
      <c r="B950" s="2"/>
      <c r="C950" s="10"/>
      <c r="D950" s="4"/>
      <c r="E950" s="5"/>
      <c r="F950" s="6"/>
      <c r="G950" s="7"/>
      <c r="H950" s="11"/>
      <c r="I950" s="12"/>
      <c r="J950" s="1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x14ac:dyDescent="0.45">
      <c r="A951" s="24"/>
      <c r="B951" s="2"/>
      <c r="C951" s="10"/>
      <c r="D951" s="4"/>
      <c r="E951" s="5"/>
      <c r="F951" s="6"/>
      <c r="G951" s="7"/>
      <c r="H951" s="11"/>
      <c r="I951" s="12"/>
      <c r="J951" s="1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x14ac:dyDescent="0.45">
      <c r="A952" s="24"/>
      <c r="B952" s="2"/>
      <c r="C952" s="10"/>
      <c r="D952" s="4"/>
      <c r="E952" s="5"/>
      <c r="F952" s="6"/>
      <c r="G952" s="7"/>
      <c r="H952" s="11"/>
      <c r="I952" s="12"/>
      <c r="J952" s="1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x14ac:dyDescent="0.45">
      <c r="A953" s="24"/>
      <c r="B953" s="2"/>
      <c r="C953" s="10"/>
      <c r="D953" s="4"/>
      <c r="E953" s="5"/>
      <c r="F953" s="6"/>
      <c r="G953" s="7"/>
      <c r="H953" s="11"/>
      <c r="I953" s="12"/>
      <c r="J953" s="1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x14ac:dyDescent="0.45">
      <c r="A954" s="24"/>
      <c r="B954" s="2"/>
      <c r="C954" s="10"/>
      <c r="D954" s="4"/>
      <c r="E954" s="5"/>
      <c r="F954" s="6"/>
      <c r="G954" s="7"/>
      <c r="H954" s="11"/>
      <c r="I954" s="12"/>
      <c r="J954" s="1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x14ac:dyDescent="0.45">
      <c r="A955" s="24"/>
      <c r="B955" s="2"/>
      <c r="C955" s="10"/>
      <c r="D955" s="4"/>
      <c r="E955" s="5"/>
      <c r="F955" s="6"/>
      <c r="G955" s="7"/>
      <c r="H955" s="11"/>
      <c r="I955" s="12"/>
      <c r="J955" s="1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x14ac:dyDescent="0.45">
      <c r="A956" s="24"/>
      <c r="B956" s="2"/>
      <c r="C956" s="10"/>
      <c r="D956" s="4"/>
      <c r="E956" s="5"/>
      <c r="F956" s="6"/>
      <c r="G956" s="7"/>
      <c r="H956" s="11"/>
      <c r="I956" s="12"/>
      <c r="J956" s="1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x14ac:dyDescent="0.45">
      <c r="A957" s="24"/>
      <c r="B957" s="2"/>
      <c r="C957" s="10"/>
      <c r="D957" s="4"/>
      <c r="E957" s="5"/>
      <c r="F957" s="6"/>
      <c r="G957" s="7"/>
      <c r="H957" s="11"/>
      <c r="I957" s="12"/>
      <c r="J957" s="1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x14ac:dyDescent="0.45">
      <c r="A958" s="24"/>
      <c r="B958" s="2"/>
      <c r="C958" s="10"/>
      <c r="D958" s="4"/>
      <c r="E958" s="5"/>
      <c r="F958" s="6"/>
      <c r="G958" s="7"/>
      <c r="H958" s="11"/>
      <c r="I958" s="12"/>
      <c r="J958" s="1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x14ac:dyDescent="0.45">
      <c r="A959" s="24"/>
      <c r="B959" s="2"/>
      <c r="C959" s="10"/>
      <c r="D959" s="4"/>
      <c r="E959" s="5"/>
      <c r="F959" s="6"/>
      <c r="G959" s="7"/>
      <c r="H959" s="11"/>
      <c r="I959" s="12"/>
      <c r="J959" s="1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x14ac:dyDescent="0.45">
      <c r="A960" s="24"/>
      <c r="B960" s="2"/>
      <c r="C960" s="10"/>
      <c r="D960" s="4"/>
      <c r="E960" s="5"/>
      <c r="F960" s="6"/>
      <c r="G960" s="7"/>
      <c r="H960" s="11"/>
      <c r="I960" s="12"/>
      <c r="J960" s="1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x14ac:dyDescent="0.45">
      <c r="A961" s="24"/>
      <c r="B961" s="2"/>
      <c r="C961" s="10"/>
      <c r="D961" s="4"/>
      <c r="E961" s="5"/>
      <c r="F961" s="6"/>
      <c r="G961" s="7"/>
      <c r="H961" s="11"/>
      <c r="I961" s="12"/>
      <c r="J961" s="1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x14ac:dyDescent="0.45">
      <c r="A962" s="24"/>
      <c r="B962" s="2"/>
      <c r="C962" s="10"/>
      <c r="D962" s="4"/>
      <c r="E962" s="5"/>
      <c r="F962" s="6"/>
      <c r="G962" s="7"/>
      <c r="H962" s="11"/>
      <c r="I962" s="12"/>
      <c r="J962" s="1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x14ac:dyDescent="0.45">
      <c r="A963" s="24"/>
      <c r="B963" s="2"/>
      <c r="C963" s="10"/>
      <c r="D963" s="4"/>
      <c r="E963" s="5"/>
      <c r="F963" s="6"/>
      <c r="G963" s="7"/>
      <c r="H963" s="11"/>
      <c r="I963" s="12"/>
      <c r="J963" s="1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x14ac:dyDescent="0.45">
      <c r="A964" s="24"/>
      <c r="B964" s="2"/>
      <c r="C964" s="10"/>
      <c r="D964" s="4"/>
      <c r="E964" s="5"/>
      <c r="F964" s="6"/>
      <c r="G964" s="7"/>
      <c r="H964" s="11"/>
      <c r="I964" s="12"/>
      <c r="J964" s="1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x14ac:dyDescent="0.45">
      <c r="A965" s="24"/>
      <c r="B965" s="2"/>
      <c r="C965" s="10"/>
      <c r="D965" s="4"/>
      <c r="E965" s="5"/>
      <c r="F965" s="6"/>
      <c r="G965" s="7"/>
      <c r="H965" s="11"/>
      <c r="I965" s="12"/>
      <c r="J965" s="1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x14ac:dyDescent="0.45">
      <c r="A966" s="24"/>
      <c r="B966" s="2"/>
      <c r="C966" s="10"/>
      <c r="D966" s="4"/>
      <c r="E966" s="5"/>
      <c r="F966" s="6"/>
      <c r="G966" s="7"/>
      <c r="H966" s="11"/>
      <c r="I966" s="12"/>
      <c r="J966" s="1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x14ac:dyDescent="0.45">
      <c r="A967" s="24"/>
      <c r="B967" s="2"/>
      <c r="C967" s="10"/>
      <c r="D967" s="4"/>
      <c r="E967" s="5"/>
      <c r="F967" s="6"/>
      <c r="G967" s="7"/>
      <c r="H967" s="11"/>
      <c r="I967" s="12"/>
      <c r="J967" s="1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x14ac:dyDescent="0.45">
      <c r="A968" s="24"/>
      <c r="B968" s="2"/>
      <c r="C968" s="10"/>
      <c r="D968" s="4"/>
      <c r="E968" s="5"/>
      <c r="F968" s="6"/>
      <c r="G968" s="7"/>
      <c r="H968" s="11"/>
      <c r="I968" s="12"/>
      <c r="J968" s="1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x14ac:dyDescent="0.45">
      <c r="A969" s="24"/>
      <c r="B969" s="2"/>
      <c r="C969" s="10"/>
      <c r="D969" s="4"/>
      <c r="E969" s="5"/>
      <c r="F969" s="6"/>
      <c r="G969" s="7"/>
      <c r="H969" s="11"/>
      <c r="I969" s="12"/>
      <c r="J969" s="1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x14ac:dyDescent="0.45">
      <c r="A970" s="24"/>
      <c r="B970" s="2"/>
      <c r="C970" s="10"/>
      <c r="D970" s="4"/>
      <c r="E970" s="5"/>
      <c r="F970" s="6"/>
      <c r="G970" s="7"/>
      <c r="H970" s="11"/>
      <c r="I970" s="12"/>
      <c r="J970" s="1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x14ac:dyDescent="0.45">
      <c r="A971" s="24"/>
      <c r="B971" s="2"/>
      <c r="C971" s="10"/>
      <c r="D971" s="4"/>
      <c r="E971" s="5"/>
      <c r="F971" s="6"/>
      <c r="G971" s="7"/>
      <c r="H971" s="11"/>
      <c r="I971" s="12"/>
      <c r="J971" s="1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x14ac:dyDescent="0.45">
      <c r="A972" s="24"/>
      <c r="B972" s="2"/>
      <c r="C972" s="10"/>
      <c r="D972" s="4"/>
      <c r="E972" s="5"/>
      <c r="F972" s="6"/>
      <c r="G972" s="7"/>
      <c r="H972" s="11"/>
      <c r="I972" s="12"/>
      <c r="J972" s="1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x14ac:dyDescent="0.45">
      <c r="A973" s="24"/>
      <c r="B973" s="2"/>
      <c r="C973" s="10"/>
      <c r="D973" s="4"/>
      <c r="E973" s="5"/>
      <c r="F973" s="6"/>
      <c r="G973" s="7"/>
      <c r="H973" s="11"/>
      <c r="I973" s="12"/>
      <c r="J973" s="1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x14ac:dyDescent="0.45">
      <c r="A974" s="24"/>
      <c r="B974" s="2"/>
      <c r="C974" s="10"/>
      <c r="D974" s="4"/>
      <c r="E974" s="5"/>
      <c r="F974" s="6"/>
      <c r="G974" s="7"/>
      <c r="H974" s="11"/>
      <c r="I974" s="12"/>
      <c r="J974" s="1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x14ac:dyDescent="0.45">
      <c r="A975" s="24"/>
      <c r="B975" s="2"/>
      <c r="C975" s="10"/>
      <c r="D975" s="4"/>
      <c r="E975" s="5"/>
      <c r="F975" s="6"/>
      <c r="G975" s="7"/>
      <c r="H975" s="11"/>
      <c r="I975" s="12"/>
      <c r="J975" s="1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x14ac:dyDescent="0.45">
      <c r="A976" s="24"/>
      <c r="B976" s="2"/>
      <c r="C976" s="10"/>
      <c r="D976" s="4"/>
      <c r="E976" s="5"/>
      <c r="F976" s="6"/>
      <c r="G976" s="7"/>
      <c r="H976" s="11"/>
      <c r="I976" s="12"/>
      <c r="J976" s="1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x14ac:dyDescent="0.45">
      <c r="A977" s="24"/>
      <c r="B977" s="2"/>
      <c r="C977" s="10"/>
      <c r="D977" s="4"/>
      <c r="E977" s="5"/>
      <c r="F977" s="6"/>
      <c r="G977" s="7"/>
      <c r="H977" s="11"/>
      <c r="I977" s="12"/>
      <c r="J977" s="1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x14ac:dyDescent="0.45">
      <c r="A978" s="24"/>
      <c r="B978" s="2"/>
      <c r="C978" s="10"/>
      <c r="D978" s="4"/>
      <c r="E978" s="5"/>
      <c r="F978" s="6"/>
      <c r="G978" s="7"/>
      <c r="H978" s="11"/>
      <c r="I978" s="12"/>
      <c r="J978" s="1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x14ac:dyDescent="0.45">
      <c r="A979" s="24"/>
      <c r="B979" s="2"/>
      <c r="C979" s="10"/>
      <c r="D979" s="4"/>
      <c r="E979" s="5"/>
      <c r="F979" s="6"/>
      <c r="G979" s="7"/>
      <c r="H979" s="11"/>
      <c r="I979" s="12"/>
      <c r="J979" s="1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x14ac:dyDescent="0.45">
      <c r="A980" s="24"/>
      <c r="B980" s="2"/>
      <c r="C980" s="10"/>
      <c r="D980" s="4"/>
      <c r="E980" s="5"/>
      <c r="F980" s="6"/>
      <c r="G980" s="7"/>
      <c r="H980" s="11"/>
      <c r="I980" s="12"/>
      <c r="J980" s="1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x14ac:dyDescent="0.45">
      <c r="A981" s="24"/>
      <c r="B981" s="2"/>
      <c r="C981" s="10"/>
      <c r="D981" s="4"/>
      <c r="E981" s="5"/>
      <c r="F981" s="6"/>
      <c r="G981" s="7"/>
      <c r="H981" s="11"/>
      <c r="I981" s="12"/>
      <c r="J981" s="1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x14ac:dyDescent="0.45">
      <c r="A982" s="24"/>
      <c r="B982" s="2"/>
      <c r="C982" s="10"/>
      <c r="D982" s="4"/>
      <c r="E982" s="5"/>
      <c r="F982" s="6"/>
      <c r="G982" s="7"/>
      <c r="H982" s="11"/>
      <c r="I982" s="12"/>
      <c r="J982" s="1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x14ac:dyDescent="0.45">
      <c r="A983" s="24"/>
      <c r="B983" s="2"/>
      <c r="C983" s="10"/>
      <c r="D983" s="4"/>
      <c r="E983" s="5"/>
      <c r="F983" s="6"/>
      <c r="G983" s="7"/>
      <c r="H983" s="11"/>
      <c r="I983" s="12"/>
      <c r="J983" s="1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x14ac:dyDescent="0.45">
      <c r="A984" s="24"/>
      <c r="B984" s="2"/>
      <c r="C984" s="10"/>
      <c r="D984" s="4"/>
      <c r="E984" s="5"/>
      <c r="F984" s="6"/>
      <c r="G984" s="7"/>
      <c r="H984" s="11"/>
      <c r="I984" s="12"/>
      <c r="J984" s="1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x14ac:dyDescent="0.45">
      <c r="A985" s="24"/>
      <c r="B985" s="2"/>
      <c r="C985" s="10"/>
      <c r="D985" s="4"/>
      <c r="E985" s="5"/>
      <c r="F985" s="6"/>
      <c r="G985" s="7"/>
      <c r="H985" s="11"/>
      <c r="I985" s="12"/>
      <c r="J985" s="1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x14ac:dyDescent="0.45">
      <c r="A986" s="24"/>
      <c r="B986" s="2"/>
      <c r="C986" s="10"/>
      <c r="D986" s="4"/>
      <c r="E986" s="5"/>
      <c r="F986" s="6"/>
      <c r="G986" s="7"/>
      <c r="H986" s="11"/>
      <c r="I986" s="12"/>
      <c r="J986" s="1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x14ac:dyDescent="0.45">
      <c r="A987" s="24"/>
      <c r="B987" s="2"/>
      <c r="C987" s="10"/>
      <c r="D987" s="4"/>
      <c r="E987" s="5"/>
      <c r="F987" s="6"/>
      <c r="G987" s="7"/>
      <c r="H987" s="11"/>
      <c r="I987" s="12"/>
      <c r="J987" s="1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x14ac:dyDescent="0.45">
      <c r="A988" s="24"/>
      <c r="B988" s="2"/>
      <c r="C988" s="10"/>
      <c r="D988" s="4"/>
      <c r="E988" s="5"/>
      <c r="F988" s="6"/>
      <c r="G988" s="7"/>
      <c r="H988" s="11"/>
      <c r="I988" s="12"/>
      <c r="J988" s="1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x14ac:dyDescent="0.45">
      <c r="A989" s="24"/>
      <c r="B989" s="2"/>
      <c r="C989" s="10"/>
      <c r="D989" s="4"/>
      <c r="E989" s="5"/>
      <c r="F989" s="6"/>
      <c r="G989" s="7"/>
      <c r="H989" s="11"/>
      <c r="I989" s="12"/>
      <c r="J989" s="1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x14ac:dyDescent="0.45">
      <c r="A990" s="24"/>
      <c r="B990" s="2"/>
      <c r="C990" s="10"/>
      <c r="D990" s="4"/>
      <c r="E990" s="5"/>
      <c r="F990" s="6"/>
      <c r="G990" s="7"/>
      <c r="H990" s="11"/>
      <c r="I990" s="12"/>
      <c r="J990" s="1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x14ac:dyDescent="0.45">
      <c r="A991" s="24"/>
      <c r="B991" s="2"/>
      <c r="C991" s="10"/>
      <c r="D991" s="4"/>
      <c r="E991" s="5"/>
      <c r="F991" s="6"/>
      <c r="G991" s="7"/>
      <c r="H991" s="11"/>
      <c r="I991" s="12"/>
      <c r="J991" s="1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x14ac:dyDescent="0.45">
      <c r="A992" s="24"/>
      <c r="B992" s="2"/>
      <c r="C992" s="10"/>
      <c r="D992" s="4"/>
      <c r="E992" s="5"/>
      <c r="F992" s="6"/>
      <c r="G992" s="7"/>
      <c r="H992" s="11"/>
      <c r="I992" s="12"/>
      <c r="J992" s="1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x14ac:dyDescent="0.45">
      <c r="A993" s="24"/>
      <c r="B993" s="2"/>
      <c r="C993" s="10"/>
      <c r="D993" s="4"/>
      <c r="E993" s="5"/>
      <c r="F993" s="6"/>
      <c r="G993" s="7"/>
      <c r="H993" s="11"/>
      <c r="I993" s="12"/>
      <c r="J993" s="1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x14ac:dyDescent="0.45">
      <c r="A994" s="24"/>
      <c r="B994" s="2"/>
      <c r="C994" s="10"/>
      <c r="D994" s="4"/>
      <c r="E994" s="5"/>
      <c r="F994" s="6"/>
      <c r="G994" s="7"/>
      <c r="H994" s="11"/>
      <c r="I994" s="12"/>
      <c r="J994" s="1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x14ac:dyDescent="0.45">
      <c r="A995" s="24"/>
      <c r="B995" s="2"/>
      <c r="C995" s="10"/>
      <c r="D995" s="4"/>
      <c r="E995" s="5"/>
      <c r="F995" s="6"/>
      <c r="G995" s="7"/>
      <c r="H995" s="11"/>
      <c r="I995" s="12"/>
      <c r="J995" s="1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x14ac:dyDescent="0.45">
      <c r="A996" s="24"/>
      <c r="B996" s="2"/>
      <c r="C996" s="10"/>
      <c r="D996" s="4"/>
      <c r="E996" s="5"/>
      <c r="F996" s="6"/>
      <c r="G996" s="7"/>
      <c r="H996" s="11"/>
      <c r="I996" s="12"/>
      <c r="J996" s="1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x14ac:dyDescent="0.45">
      <c r="A997" s="24"/>
      <c r="B997" s="2"/>
      <c r="C997" s="10"/>
      <c r="D997" s="4"/>
      <c r="E997" s="5"/>
      <c r="F997" s="6"/>
      <c r="G997" s="7"/>
      <c r="H997" s="11"/>
      <c r="I997" s="12"/>
      <c r="J997" s="1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x14ac:dyDescent="0.45">
      <c r="A998" s="24"/>
      <c r="B998" s="2"/>
      <c r="C998" s="10"/>
      <c r="D998" s="4"/>
      <c r="E998" s="5"/>
      <c r="F998" s="6"/>
      <c r="G998" s="7"/>
      <c r="H998" s="11"/>
      <c r="I998" s="12"/>
      <c r="J998" s="1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x14ac:dyDescent="0.45">
      <c r="A999" s="24"/>
      <c r="B999" s="2"/>
      <c r="C999" s="10"/>
      <c r="D999" s="4"/>
      <c r="E999" s="5"/>
      <c r="F999" s="6"/>
      <c r="G999" s="7"/>
      <c r="H999" s="11"/>
      <c r="I999" s="12"/>
      <c r="J999" s="1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x14ac:dyDescent="0.45">
      <c r="A1000" s="24"/>
      <c r="B1000" s="2"/>
      <c r="C1000" s="10"/>
      <c r="D1000" s="4"/>
      <c r="E1000" s="5"/>
      <c r="F1000" s="6"/>
      <c r="G1000" s="7"/>
      <c r="H1000" s="11"/>
      <c r="I1000" s="12"/>
      <c r="J1000" s="1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78"/>
  <sheetViews>
    <sheetView workbookViewId="0">
      <selection activeCell="C79" sqref="C79"/>
    </sheetView>
  </sheetViews>
  <sheetFormatPr defaultColWidth="12.61328125" defaultRowHeight="15.75" customHeight="1" x14ac:dyDescent="0.45"/>
  <cols>
    <col min="1" max="1" width="17.15234375" style="25" customWidth="1"/>
    <col min="2" max="2" width="20.15234375" style="25" customWidth="1"/>
    <col min="3" max="3" width="41.61328125" style="25" customWidth="1"/>
    <col min="4" max="4" width="12.61328125" style="25"/>
    <col min="5" max="5" width="46.765625" style="25" customWidth="1"/>
    <col min="6" max="16384" width="12.61328125" style="25"/>
  </cols>
  <sheetData>
    <row r="1" spans="1:7" ht="15.75" customHeight="1" x14ac:dyDescent="0.45">
      <c r="A1" s="25" t="s">
        <v>516</v>
      </c>
      <c r="C1" s="25" t="s">
        <v>557</v>
      </c>
      <c r="E1" s="25" t="s">
        <v>558</v>
      </c>
    </row>
    <row r="2" spans="1:7" ht="15.75" customHeight="1" x14ac:dyDescent="0.45">
      <c r="A2" s="24" t="s">
        <v>514</v>
      </c>
      <c r="B2" s="24" t="s">
        <v>515</v>
      </c>
      <c r="C2" s="24"/>
      <c r="E2" s="24"/>
      <c r="F2" s="24"/>
      <c r="G2" s="24"/>
    </row>
    <row r="3" spans="1:7" ht="15.75" customHeight="1" x14ac:dyDescent="0.45">
      <c r="A3" s="24" t="s">
        <v>517</v>
      </c>
      <c r="B3" s="24" t="s">
        <v>520</v>
      </c>
      <c r="C3" s="24" t="s">
        <v>518</v>
      </c>
      <c r="E3" s="24"/>
      <c r="F3" s="24"/>
      <c r="G3" s="24"/>
    </row>
    <row r="4" spans="1:7" ht="15.75" customHeight="1" x14ac:dyDescent="0.45">
      <c r="A4" s="24" t="s">
        <v>519</v>
      </c>
      <c r="B4" s="24" t="s">
        <v>521</v>
      </c>
      <c r="C4" s="24" t="s">
        <v>524</v>
      </c>
      <c r="E4" s="24"/>
      <c r="F4" s="24"/>
    </row>
    <row r="5" spans="1:7" ht="15.75" customHeight="1" x14ac:dyDescent="0.45">
      <c r="A5" s="24" t="s">
        <v>522</v>
      </c>
      <c r="B5" s="24" t="s">
        <v>523</v>
      </c>
      <c r="C5" s="25" t="s">
        <v>525</v>
      </c>
      <c r="E5" s="24"/>
      <c r="F5" s="24"/>
    </row>
    <row r="6" spans="1:7" ht="15.75" customHeight="1" x14ac:dyDescent="0.45">
      <c r="A6" s="25" t="s">
        <v>528</v>
      </c>
      <c r="B6" s="25" t="s">
        <v>527</v>
      </c>
      <c r="C6" s="25" t="s">
        <v>526</v>
      </c>
      <c r="E6" s="24"/>
      <c r="F6" s="24"/>
      <c r="G6" s="24"/>
    </row>
    <row r="7" spans="1:7" ht="15.75" customHeight="1" x14ac:dyDescent="0.45">
      <c r="A7" s="24" t="s">
        <v>529</v>
      </c>
      <c r="B7" s="24"/>
      <c r="E7" s="24"/>
      <c r="F7" s="24"/>
    </row>
    <row r="8" spans="1:7" ht="15.75" customHeight="1" x14ac:dyDescent="0.45">
      <c r="A8" s="24" t="s">
        <v>530</v>
      </c>
      <c r="B8" s="24"/>
      <c r="C8" s="25" t="s">
        <v>531</v>
      </c>
      <c r="E8" s="24"/>
      <c r="F8" s="24"/>
    </row>
    <row r="9" spans="1:7" ht="15.75" customHeight="1" x14ac:dyDescent="0.45">
      <c r="A9" s="24" t="s">
        <v>532</v>
      </c>
      <c r="B9" s="24" t="s">
        <v>534</v>
      </c>
      <c r="C9" s="25" t="s">
        <v>533</v>
      </c>
      <c r="E9" s="24"/>
    </row>
    <row r="10" spans="1:7" ht="15.75" customHeight="1" x14ac:dyDescent="0.45">
      <c r="A10" s="24" t="s">
        <v>535</v>
      </c>
      <c r="B10" s="24" t="s">
        <v>536</v>
      </c>
      <c r="C10" s="25" t="s">
        <v>537</v>
      </c>
      <c r="E10" s="24"/>
    </row>
    <row r="11" spans="1:7" ht="15.75" customHeight="1" x14ac:dyDescent="0.45">
      <c r="A11" s="24" t="s">
        <v>538</v>
      </c>
      <c r="B11" s="24"/>
      <c r="C11" s="25" t="s">
        <v>539</v>
      </c>
      <c r="E11" s="24"/>
      <c r="F11" s="24"/>
    </row>
    <row r="12" spans="1:7" ht="15.75" customHeight="1" x14ac:dyDescent="0.45">
      <c r="A12" s="24" t="s">
        <v>540</v>
      </c>
      <c r="B12" s="24"/>
      <c r="C12" s="25" t="s">
        <v>541</v>
      </c>
      <c r="E12" s="24"/>
    </row>
    <row r="13" spans="1:7" ht="15.75" customHeight="1" x14ac:dyDescent="0.45">
      <c r="A13" s="25" t="s">
        <v>542</v>
      </c>
      <c r="C13" s="25" t="s">
        <v>543</v>
      </c>
    </row>
    <row r="14" spans="1:7" ht="15.75" customHeight="1" x14ac:dyDescent="0.45">
      <c r="A14" s="24" t="s">
        <v>544</v>
      </c>
      <c r="B14" s="24"/>
      <c r="C14" s="25" t="s">
        <v>545</v>
      </c>
      <c r="D14" s="24"/>
      <c r="F14" s="24"/>
    </row>
    <row r="15" spans="1:7" ht="15.75" customHeight="1" x14ac:dyDescent="0.45">
      <c r="A15" s="24" t="s">
        <v>546</v>
      </c>
      <c r="B15" s="24"/>
      <c r="C15" s="25" t="s">
        <v>187</v>
      </c>
      <c r="D15" s="24"/>
    </row>
    <row r="16" spans="1:7" ht="15.75" customHeight="1" x14ac:dyDescent="0.45">
      <c r="A16" s="24" t="s">
        <v>547</v>
      </c>
      <c r="B16" s="24"/>
      <c r="C16" s="25" t="s">
        <v>187</v>
      </c>
    </row>
    <row r="17" spans="1:10" ht="15.75" customHeight="1" x14ac:dyDescent="0.45">
      <c r="A17" s="24" t="s">
        <v>548</v>
      </c>
      <c r="C17" s="25" t="s">
        <v>549</v>
      </c>
      <c r="J17" s="24"/>
    </row>
    <row r="18" spans="1:10" ht="15.75" customHeight="1" x14ac:dyDescent="0.45">
      <c r="A18" s="24" t="s">
        <v>550</v>
      </c>
      <c r="C18" s="25" t="s">
        <v>555</v>
      </c>
      <c r="D18" s="24"/>
    </row>
    <row r="19" spans="1:10" ht="15.75" customHeight="1" x14ac:dyDescent="0.45">
      <c r="A19" s="24" t="s">
        <v>551</v>
      </c>
      <c r="B19" s="24"/>
      <c r="C19" s="25" t="s">
        <v>559</v>
      </c>
      <c r="E19" s="25" t="s">
        <v>556</v>
      </c>
    </row>
    <row r="20" spans="1:10" ht="15.75" customHeight="1" x14ac:dyDescent="0.45">
      <c r="A20" s="25" t="s">
        <v>552</v>
      </c>
      <c r="C20" s="25" t="s">
        <v>560</v>
      </c>
    </row>
    <row r="21" spans="1:10" ht="15.75" customHeight="1" x14ac:dyDescent="0.45">
      <c r="A21" s="24" t="s">
        <v>553</v>
      </c>
      <c r="B21" s="24"/>
      <c r="C21" s="25" t="s">
        <v>561</v>
      </c>
    </row>
    <row r="22" spans="1:10" ht="15.75" customHeight="1" x14ac:dyDescent="0.45">
      <c r="A22" s="24" t="s">
        <v>554</v>
      </c>
      <c r="C22" s="25" t="s">
        <v>562</v>
      </c>
      <c r="E22" s="25" t="s">
        <v>563</v>
      </c>
    </row>
    <row r="23" spans="1:10" ht="15.75" customHeight="1" x14ac:dyDescent="0.45">
      <c r="A23" s="24"/>
    </row>
    <row r="27" spans="1:10" ht="18" x14ac:dyDescent="0.45">
      <c r="A27" s="25" t="s">
        <v>397</v>
      </c>
      <c r="B27" s="25" t="s">
        <v>564</v>
      </c>
    </row>
    <row r="28" spans="1:10" ht="18" x14ac:dyDescent="0.45">
      <c r="A28" s="25" t="s">
        <v>565</v>
      </c>
      <c r="C28" s="25" t="s">
        <v>398</v>
      </c>
    </row>
    <row r="29" spans="1:10" ht="18" x14ac:dyDescent="0.45">
      <c r="A29" s="25" t="s">
        <v>566</v>
      </c>
      <c r="C29" s="25" t="s">
        <v>567</v>
      </c>
    </row>
    <row r="30" spans="1:10" ht="18" x14ac:dyDescent="0.45">
      <c r="A30" s="25" t="s">
        <v>569</v>
      </c>
      <c r="C30" s="25" t="s">
        <v>568</v>
      </c>
    </row>
    <row r="31" spans="1:10" ht="18" x14ac:dyDescent="0.45"/>
    <row r="32" spans="1:10" ht="18" x14ac:dyDescent="0.45">
      <c r="A32" s="25" t="s">
        <v>572</v>
      </c>
    </row>
    <row r="33" spans="1:3" ht="18" x14ac:dyDescent="0.45">
      <c r="A33" s="25" t="s">
        <v>573</v>
      </c>
      <c r="C33" s="25" t="s">
        <v>574</v>
      </c>
    </row>
    <row r="34" spans="1:3" ht="15.75" customHeight="1" x14ac:dyDescent="0.45">
      <c r="A34" s="25" t="s">
        <v>575</v>
      </c>
      <c r="C34" s="25" t="s">
        <v>576</v>
      </c>
    </row>
    <row r="35" spans="1:3" ht="18" x14ac:dyDescent="0.45">
      <c r="A35" s="25" t="s">
        <v>577</v>
      </c>
      <c r="C35" s="25" t="s">
        <v>578</v>
      </c>
    </row>
    <row r="36" spans="1:3" ht="18" x14ac:dyDescent="0.45"/>
    <row r="37" spans="1:3" ht="18" x14ac:dyDescent="0.45">
      <c r="A37" s="25" t="s">
        <v>602</v>
      </c>
      <c r="C37" s="25" t="s">
        <v>603</v>
      </c>
    </row>
    <row r="38" spans="1:3" ht="18" x14ac:dyDescent="0.45"/>
    <row r="39" spans="1:3" ht="18" x14ac:dyDescent="0.45"/>
    <row r="40" spans="1:3" ht="18" x14ac:dyDescent="0.45">
      <c r="A40" s="25" t="s">
        <v>570</v>
      </c>
      <c r="C40" s="25" t="s">
        <v>571</v>
      </c>
    </row>
    <row r="41" spans="1:3" ht="18" x14ac:dyDescent="0.45"/>
    <row r="42" spans="1:3" ht="18" x14ac:dyDescent="0.45">
      <c r="A42" s="25" t="s">
        <v>588</v>
      </c>
      <c r="C42" s="25" t="s">
        <v>589</v>
      </c>
    </row>
    <row r="43" spans="1:3" ht="18" x14ac:dyDescent="0.45">
      <c r="A43" s="25" t="s">
        <v>400</v>
      </c>
      <c r="C43" s="25" t="s">
        <v>579</v>
      </c>
    </row>
    <row r="44" spans="1:3" ht="18" x14ac:dyDescent="0.45">
      <c r="A44" s="25" t="s">
        <v>580</v>
      </c>
      <c r="C44" s="25" t="s">
        <v>581</v>
      </c>
    </row>
    <row r="45" spans="1:3" ht="18" x14ac:dyDescent="0.45">
      <c r="A45" s="25" t="s">
        <v>582</v>
      </c>
      <c r="C45" s="25" t="s">
        <v>583</v>
      </c>
    </row>
    <row r="46" spans="1:3" ht="18" x14ac:dyDescent="0.45">
      <c r="A46" s="25" t="s">
        <v>584</v>
      </c>
      <c r="C46" s="25" t="s">
        <v>585</v>
      </c>
    </row>
    <row r="47" spans="1:3" ht="18" x14ac:dyDescent="0.45">
      <c r="A47" s="25" t="s">
        <v>586</v>
      </c>
      <c r="C47" s="25" t="s">
        <v>587</v>
      </c>
    </row>
    <row r="48" spans="1:3" ht="18" x14ac:dyDescent="0.45">
      <c r="A48" s="25" t="s">
        <v>594</v>
      </c>
      <c r="C48" s="25" t="s">
        <v>595</v>
      </c>
    </row>
    <row r="49" spans="1:3" ht="18" x14ac:dyDescent="0.45"/>
    <row r="50" spans="1:3" ht="18" x14ac:dyDescent="0.45">
      <c r="A50" s="25" t="s">
        <v>596</v>
      </c>
      <c r="C50" s="25" t="s">
        <v>597</v>
      </c>
    </row>
    <row r="51" spans="1:3" ht="18" x14ac:dyDescent="0.45"/>
    <row r="52" spans="1:3" ht="18" x14ac:dyDescent="0.45"/>
    <row r="53" spans="1:3" ht="18" x14ac:dyDescent="0.45">
      <c r="A53" s="25" t="s">
        <v>590</v>
      </c>
      <c r="C53" s="25" t="s">
        <v>591</v>
      </c>
    </row>
    <row r="60" spans="1:3" ht="15.75" customHeight="1" x14ac:dyDescent="0.45">
      <c r="A60" s="25" t="s">
        <v>592</v>
      </c>
      <c r="C60" s="25" t="s">
        <v>593</v>
      </c>
    </row>
    <row r="64" spans="1:3" ht="15.75" customHeight="1" x14ac:dyDescent="0.45">
      <c r="A64" s="25" t="s">
        <v>598</v>
      </c>
      <c r="C64" s="25" t="s">
        <v>599</v>
      </c>
    </row>
    <row r="67" spans="1:3" ht="15.75" customHeight="1" x14ac:dyDescent="0.45">
      <c r="A67" s="25" t="s">
        <v>600</v>
      </c>
      <c r="C67" s="25" t="s">
        <v>601</v>
      </c>
    </row>
    <row r="69" spans="1:3" ht="15.75" customHeight="1" x14ac:dyDescent="0.45">
      <c r="A69" s="25" t="s">
        <v>604</v>
      </c>
      <c r="C69" s="25" t="s">
        <v>605</v>
      </c>
    </row>
    <row r="70" spans="1:3" ht="15.75" customHeight="1" x14ac:dyDescent="0.45">
      <c r="A70" s="25" t="s">
        <v>606</v>
      </c>
      <c r="C70" s="25" t="s">
        <v>607</v>
      </c>
    </row>
    <row r="71" spans="1:3" ht="15.75" customHeight="1" x14ac:dyDescent="0.45">
      <c r="A71" s="25" t="s">
        <v>608</v>
      </c>
      <c r="C71" s="25" t="s">
        <v>609</v>
      </c>
    </row>
    <row r="78" spans="1:3" ht="15.75" customHeight="1" x14ac:dyDescent="0.45">
      <c r="A78" s="25" t="s">
        <v>610</v>
      </c>
      <c r="C78" s="25" t="s">
        <v>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D6A9-EEC2-4382-A98E-BAB6BC882176}">
  <sheetPr>
    <outlinePr summaryBelow="0" summaryRight="0"/>
  </sheetPr>
  <dimension ref="A2:J53"/>
  <sheetViews>
    <sheetView workbookViewId="0">
      <selection activeCell="E6" sqref="E6"/>
    </sheetView>
  </sheetViews>
  <sheetFormatPr defaultColWidth="12.61328125" defaultRowHeight="15.75" customHeight="1" x14ac:dyDescent="0.3"/>
  <cols>
    <col min="2" max="2" width="15.765625" customWidth="1"/>
  </cols>
  <sheetData>
    <row r="2" spans="1:7" ht="15.75" customHeight="1" x14ac:dyDescent="0.3">
      <c r="A2" s="14" t="s">
        <v>397</v>
      </c>
      <c r="B2" s="14" t="s">
        <v>398</v>
      </c>
      <c r="C2" s="14" t="s">
        <v>399</v>
      </c>
      <c r="E2" s="14" t="s">
        <v>400</v>
      </c>
      <c r="F2" s="14" t="s">
        <v>401</v>
      </c>
      <c r="G2" s="14" t="s">
        <v>402</v>
      </c>
    </row>
    <row r="3" spans="1:7" ht="15.75" customHeight="1" x14ac:dyDescent="0.3">
      <c r="A3" s="14" t="s">
        <v>403</v>
      </c>
      <c r="B3" s="14" t="s">
        <v>404</v>
      </c>
      <c r="C3" s="14" t="s">
        <v>405</v>
      </c>
      <c r="E3" s="14" t="s">
        <v>406</v>
      </c>
      <c r="F3" s="14" t="s">
        <v>407</v>
      </c>
      <c r="G3" s="14" t="s">
        <v>408</v>
      </c>
    </row>
    <row r="4" spans="1:7" ht="15.75" customHeight="1" x14ac:dyDescent="0.3">
      <c r="A4" s="14" t="s">
        <v>409</v>
      </c>
      <c r="B4" s="14" t="s">
        <v>410</v>
      </c>
      <c r="C4" s="14" t="s">
        <v>411</v>
      </c>
      <c r="E4" s="14">
        <v>2350520</v>
      </c>
      <c r="F4" s="14" t="s">
        <v>412</v>
      </c>
    </row>
    <row r="5" spans="1:7" ht="15.75" customHeight="1" x14ac:dyDescent="0.3">
      <c r="A5" s="14" t="s">
        <v>413</v>
      </c>
      <c r="B5" s="14" t="s">
        <v>414</v>
      </c>
      <c r="E5" s="14" t="s">
        <v>415</v>
      </c>
      <c r="F5" s="14" t="s">
        <v>416</v>
      </c>
    </row>
    <row r="6" spans="1:7" ht="15.75" customHeight="1" x14ac:dyDescent="0.3">
      <c r="E6" s="15" t="s">
        <v>417</v>
      </c>
      <c r="F6" s="14" t="s">
        <v>418</v>
      </c>
      <c r="G6" s="14" t="s">
        <v>419</v>
      </c>
    </row>
    <row r="7" spans="1:7" ht="15.75" customHeight="1" x14ac:dyDescent="0.3">
      <c r="A7" s="14" t="s">
        <v>420</v>
      </c>
      <c r="B7" s="14" t="s">
        <v>421</v>
      </c>
      <c r="E7" s="14">
        <v>2188472</v>
      </c>
      <c r="F7" s="14" t="s">
        <v>422</v>
      </c>
    </row>
    <row r="8" spans="1:7" ht="15.75" customHeight="1" x14ac:dyDescent="0.3">
      <c r="A8" s="14" t="s">
        <v>423</v>
      </c>
      <c r="B8" s="14" t="s">
        <v>424</v>
      </c>
      <c r="E8" s="14" t="s">
        <v>334</v>
      </c>
      <c r="F8" s="14" t="s">
        <v>425</v>
      </c>
    </row>
    <row r="9" spans="1:7" ht="15.75" customHeight="1" x14ac:dyDescent="0.3">
      <c r="A9" s="14" t="s">
        <v>426</v>
      </c>
      <c r="B9" s="14" t="s">
        <v>427</v>
      </c>
      <c r="E9" s="14" t="s">
        <v>428</v>
      </c>
    </row>
    <row r="10" spans="1:7" ht="15.75" customHeight="1" x14ac:dyDescent="0.3">
      <c r="A10" s="14" t="s">
        <v>429</v>
      </c>
      <c r="B10" s="14" t="s">
        <v>430</v>
      </c>
      <c r="E10" s="14" t="s">
        <v>431</v>
      </c>
    </row>
    <row r="11" spans="1:7" ht="15.75" customHeight="1" x14ac:dyDescent="0.3">
      <c r="A11" s="14" t="s">
        <v>432</v>
      </c>
      <c r="B11" s="14" t="s">
        <v>433</v>
      </c>
      <c r="E11" s="14" t="s">
        <v>434</v>
      </c>
      <c r="F11" s="14" t="s">
        <v>435</v>
      </c>
    </row>
    <row r="12" spans="1:7" ht="15.75" customHeight="1" x14ac:dyDescent="0.3">
      <c r="A12" s="14" t="s">
        <v>436</v>
      </c>
      <c r="B12" s="14" t="s">
        <v>437</v>
      </c>
      <c r="E12" s="14">
        <v>0</v>
      </c>
    </row>
    <row r="14" spans="1:7" ht="15.75" customHeight="1" x14ac:dyDescent="0.3">
      <c r="A14" s="14" t="s">
        <v>438</v>
      </c>
      <c r="B14" s="14" t="s">
        <v>439</v>
      </c>
      <c r="D14" s="14" t="s">
        <v>440</v>
      </c>
      <c r="F14" s="14" t="s">
        <v>441</v>
      </c>
    </row>
    <row r="15" spans="1:7" ht="15.75" customHeight="1" x14ac:dyDescent="0.3">
      <c r="A15" s="14" t="s">
        <v>442</v>
      </c>
      <c r="B15" s="14" t="s">
        <v>443</v>
      </c>
      <c r="D15" s="14" t="s">
        <v>444</v>
      </c>
    </row>
    <row r="16" spans="1:7" ht="15.75" customHeight="1" x14ac:dyDescent="0.3">
      <c r="A16" s="14" t="s">
        <v>445</v>
      </c>
      <c r="B16" s="14" t="s">
        <v>446</v>
      </c>
    </row>
    <row r="17" spans="1:10" ht="15.75" customHeight="1" x14ac:dyDescent="0.3">
      <c r="A17" s="14" t="s">
        <v>447</v>
      </c>
      <c r="J17" s="14">
        <v>5</v>
      </c>
    </row>
    <row r="18" spans="1:10" ht="15.75" customHeight="1" x14ac:dyDescent="0.3">
      <c r="A18" s="14" t="s">
        <v>448</v>
      </c>
      <c r="D18" s="14" t="s">
        <v>449</v>
      </c>
    </row>
    <row r="19" spans="1:10" ht="15.75" customHeight="1" x14ac:dyDescent="0.3">
      <c r="A19" s="14" t="s">
        <v>450</v>
      </c>
      <c r="B19" s="14" t="s">
        <v>451</v>
      </c>
    </row>
    <row r="21" spans="1:10" ht="15.75" customHeight="1" x14ac:dyDescent="0.3">
      <c r="A21" s="14" t="s">
        <v>452</v>
      </c>
      <c r="B21" s="14" t="s">
        <v>453</v>
      </c>
    </row>
    <row r="22" spans="1:10" ht="15.75" customHeight="1" x14ac:dyDescent="0.3">
      <c r="A22" s="14" t="s">
        <v>454</v>
      </c>
    </row>
    <row r="23" spans="1:10" ht="15.75" customHeight="1" x14ac:dyDescent="0.35">
      <c r="A23" s="16" t="s">
        <v>455</v>
      </c>
    </row>
    <row r="24" spans="1:10" ht="15.75" customHeight="1" x14ac:dyDescent="0.35">
      <c r="A24" s="17" t="e">
        <f t="shared" ref="A24:A53" si="0">DEC2HEX(HEX2DEC(A23)+1,2)</f>
        <v>#NUM!</v>
      </c>
    </row>
    <row r="25" spans="1:10" ht="15.75" customHeight="1" x14ac:dyDescent="0.35">
      <c r="A25" s="17" t="e">
        <f t="shared" si="0"/>
        <v>#NUM!</v>
      </c>
    </row>
    <row r="26" spans="1:10" ht="15.75" customHeight="1" x14ac:dyDescent="0.35">
      <c r="A26" s="17" t="e">
        <f t="shared" si="0"/>
        <v>#NUM!</v>
      </c>
    </row>
    <row r="27" spans="1:10" ht="15" x14ac:dyDescent="0.35">
      <c r="A27" s="17" t="e">
        <f t="shared" si="0"/>
        <v>#NUM!</v>
      </c>
    </row>
    <row r="28" spans="1:10" ht="15" x14ac:dyDescent="0.35">
      <c r="A28" s="17" t="e">
        <f t="shared" si="0"/>
        <v>#NUM!</v>
      </c>
    </row>
    <row r="29" spans="1:10" ht="15" x14ac:dyDescent="0.35">
      <c r="A29" s="17" t="e">
        <f t="shared" si="0"/>
        <v>#NUM!</v>
      </c>
    </row>
    <row r="30" spans="1:10" ht="15" x14ac:dyDescent="0.35">
      <c r="A30" s="17" t="e">
        <f t="shared" si="0"/>
        <v>#NUM!</v>
      </c>
    </row>
    <row r="31" spans="1:10" ht="15" x14ac:dyDescent="0.35">
      <c r="A31" s="17" t="e">
        <f t="shared" si="0"/>
        <v>#NUM!</v>
      </c>
    </row>
    <row r="32" spans="1:10" ht="15" x14ac:dyDescent="0.35">
      <c r="A32" s="17" t="e">
        <f t="shared" si="0"/>
        <v>#NUM!</v>
      </c>
    </row>
    <row r="33" spans="1:1" ht="15" x14ac:dyDescent="0.35">
      <c r="A33" s="17" t="e">
        <f t="shared" si="0"/>
        <v>#NUM!</v>
      </c>
    </row>
    <row r="34" spans="1:1" ht="15" x14ac:dyDescent="0.35">
      <c r="A34" s="17" t="e">
        <f t="shared" si="0"/>
        <v>#NUM!</v>
      </c>
    </row>
    <row r="35" spans="1:1" ht="15" x14ac:dyDescent="0.35">
      <c r="A35" s="17" t="e">
        <f t="shared" si="0"/>
        <v>#NUM!</v>
      </c>
    </row>
    <row r="36" spans="1:1" ht="15" x14ac:dyDescent="0.35">
      <c r="A36" s="17" t="e">
        <f t="shared" si="0"/>
        <v>#NUM!</v>
      </c>
    </row>
    <row r="37" spans="1:1" ht="15" x14ac:dyDescent="0.35">
      <c r="A37" s="17" t="e">
        <f t="shared" si="0"/>
        <v>#NUM!</v>
      </c>
    </row>
    <row r="38" spans="1:1" ht="15" x14ac:dyDescent="0.35">
      <c r="A38" s="17" t="e">
        <f t="shared" si="0"/>
        <v>#NUM!</v>
      </c>
    </row>
    <row r="39" spans="1:1" ht="15" x14ac:dyDescent="0.35">
      <c r="A39" s="17" t="e">
        <f t="shared" si="0"/>
        <v>#NUM!</v>
      </c>
    </row>
    <row r="40" spans="1:1" ht="15" x14ac:dyDescent="0.35">
      <c r="A40" s="17" t="e">
        <f t="shared" si="0"/>
        <v>#NUM!</v>
      </c>
    </row>
    <row r="41" spans="1:1" ht="15" x14ac:dyDescent="0.35">
      <c r="A41" s="17" t="e">
        <f t="shared" si="0"/>
        <v>#NUM!</v>
      </c>
    </row>
    <row r="42" spans="1:1" ht="15" x14ac:dyDescent="0.35">
      <c r="A42" s="17" t="e">
        <f t="shared" si="0"/>
        <v>#NUM!</v>
      </c>
    </row>
    <row r="43" spans="1:1" ht="15" x14ac:dyDescent="0.35">
      <c r="A43" s="17" t="e">
        <f t="shared" si="0"/>
        <v>#NUM!</v>
      </c>
    </row>
    <row r="44" spans="1:1" ht="15" x14ac:dyDescent="0.35">
      <c r="A44" s="17" t="e">
        <f t="shared" si="0"/>
        <v>#NUM!</v>
      </c>
    </row>
    <row r="45" spans="1:1" ht="15" x14ac:dyDescent="0.35">
      <c r="A45" s="17" t="e">
        <f t="shared" si="0"/>
        <v>#NUM!</v>
      </c>
    </row>
    <row r="46" spans="1:1" ht="15" x14ac:dyDescent="0.35">
      <c r="A46" s="17" t="e">
        <f t="shared" si="0"/>
        <v>#NUM!</v>
      </c>
    </row>
    <row r="47" spans="1:1" ht="15" x14ac:dyDescent="0.35">
      <c r="A47" s="17" t="e">
        <f t="shared" si="0"/>
        <v>#NUM!</v>
      </c>
    </row>
    <row r="48" spans="1:1" ht="15" x14ac:dyDescent="0.35">
      <c r="A48" s="17" t="e">
        <f t="shared" si="0"/>
        <v>#NUM!</v>
      </c>
    </row>
    <row r="49" spans="1:1" ht="15" x14ac:dyDescent="0.35">
      <c r="A49" s="17" t="e">
        <f t="shared" si="0"/>
        <v>#NUM!</v>
      </c>
    </row>
    <row r="50" spans="1:1" ht="15" x14ac:dyDescent="0.35">
      <c r="A50" s="17" t="e">
        <f t="shared" si="0"/>
        <v>#NUM!</v>
      </c>
    </row>
    <row r="51" spans="1:1" ht="15" x14ac:dyDescent="0.35">
      <c r="A51" s="17" t="e">
        <f t="shared" si="0"/>
        <v>#NUM!</v>
      </c>
    </row>
    <row r="52" spans="1:1" ht="15" x14ac:dyDescent="0.35">
      <c r="A52" s="17" t="e">
        <f t="shared" si="0"/>
        <v>#NUM!</v>
      </c>
    </row>
    <row r="53" spans="1:1" ht="15" x14ac:dyDescent="0.35">
      <c r="A53" s="17" t="e">
        <f t="shared" si="0"/>
        <v>#NUM!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7D0C-D37B-4791-8B6B-CB0CFD20BF8D}">
  <dimension ref="A2:M272"/>
  <sheetViews>
    <sheetView topLeftCell="A7" workbookViewId="0">
      <selection activeCell="K205" sqref="K205"/>
    </sheetView>
  </sheetViews>
  <sheetFormatPr defaultRowHeight="18" x14ac:dyDescent="0.45"/>
  <cols>
    <col min="1" max="1" width="9.23046875" style="26"/>
    <col min="2" max="2" width="17.4609375" style="26" customWidth="1"/>
    <col min="3" max="12" width="9.23046875" style="26"/>
    <col min="13" max="13" width="23.69140625" style="26" customWidth="1"/>
    <col min="14" max="16384" width="9.23046875" style="26"/>
  </cols>
  <sheetData>
    <row r="2" spans="1:13" x14ac:dyDescent="0.45">
      <c r="A2" s="26" t="s">
        <v>612</v>
      </c>
      <c r="D2" s="26" t="s">
        <v>664</v>
      </c>
      <c r="G2" s="26" t="s">
        <v>813</v>
      </c>
      <c r="L2" s="33" t="s">
        <v>455</v>
      </c>
      <c r="M2" s="33" t="s">
        <v>1606</v>
      </c>
    </row>
    <row r="3" spans="1:13" x14ac:dyDescent="0.45">
      <c r="A3" s="1" t="s">
        <v>455</v>
      </c>
      <c r="B3" s="26" t="s">
        <v>613</v>
      </c>
      <c r="D3" s="1" t="s">
        <v>665</v>
      </c>
      <c r="E3" s="26" t="s">
        <v>666</v>
      </c>
      <c r="G3" s="30" t="s">
        <v>758</v>
      </c>
      <c r="H3" s="26" t="s">
        <v>666</v>
      </c>
      <c r="L3" s="33" t="s">
        <v>614</v>
      </c>
      <c r="M3" s="33" t="s">
        <v>1607</v>
      </c>
    </row>
    <row r="4" spans="1:13" x14ac:dyDescent="0.45">
      <c r="A4" s="1" t="s">
        <v>614</v>
      </c>
      <c r="B4" s="26" t="s">
        <v>615</v>
      </c>
      <c r="D4" s="1" t="s">
        <v>455</v>
      </c>
      <c r="E4" s="26" t="s">
        <v>667</v>
      </c>
      <c r="G4" s="30" t="s">
        <v>759</v>
      </c>
      <c r="H4" s="26" t="s">
        <v>690</v>
      </c>
      <c r="L4" s="33" t="s">
        <v>616</v>
      </c>
      <c r="M4" s="33" t="s">
        <v>1608</v>
      </c>
    </row>
    <row r="5" spans="1:13" x14ac:dyDescent="0.45">
      <c r="A5" s="1" t="s">
        <v>616</v>
      </c>
      <c r="B5" s="26" t="s">
        <v>617</v>
      </c>
      <c r="D5" s="1" t="s">
        <v>614</v>
      </c>
      <c r="E5" s="26" t="s">
        <v>668</v>
      </c>
      <c r="G5" s="30" t="s">
        <v>814</v>
      </c>
      <c r="H5" s="26" t="s">
        <v>695</v>
      </c>
      <c r="L5" s="33" t="s">
        <v>618</v>
      </c>
      <c r="M5" s="33" t="s">
        <v>1609</v>
      </c>
    </row>
    <row r="6" spans="1:13" x14ac:dyDescent="0.45">
      <c r="A6" s="1" t="s">
        <v>618</v>
      </c>
      <c r="B6" s="26" t="s">
        <v>619</v>
      </c>
      <c r="D6" s="1" t="s">
        <v>616</v>
      </c>
      <c r="E6" s="26" t="s">
        <v>669</v>
      </c>
      <c r="G6" s="30" t="s">
        <v>815</v>
      </c>
      <c r="H6" s="26" t="s">
        <v>691</v>
      </c>
      <c r="L6" s="33" t="s">
        <v>620</v>
      </c>
      <c r="M6" s="33" t="s">
        <v>1610</v>
      </c>
    </row>
    <row r="7" spans="1:13" x14ac:dyDescent="0.45">
      <c r="A7" s="1" t="s">
        <v>620</v>
      </c>
      <c r="B7" s="26" t="s">
        <v>621</v>
      </c>
      <c r="D7" s="1" t="s">
        <v>618</v>
      </c>
      <c r="E7" s="26" t="s">
        <v>670</v>
      </c>
      <c r="G7" s="30" t="s">
        <v>816</v>
      </c>
      <c r="H7" s="26" t="s">
        <v>686</v>
      </c>
      <c r="L7" s="33" t="s">
        <v>622</v>
      </c>
      <c r="M7" s="33" t="s">
        <v>1611</v>
      </c>
    </row>
    <row r="8" spans="1:13" x14ac:dyDescent="0.45">
      <c r="A8" s="1" t="s">
        <v>622</v>
      </c>
      <c r="B8" s="26" t="s">
        <v>623</v>
      </c>
      <c r="D8" s="1" t="s">
        <v>620</v>
      </c>
      <c r="E8" s="26" t="s">
        <v>671</v>
      </c>
      <c r="G8" s="30" t="s">
        <v>817</v>
      </c>
      <c r="H8" s="26" t="s">
        <v>699</v>
      </c>
      <c r="L8" s="33" t="s">
        <v>624</v>
      </c>
      <c r="M8" s="33" t="s">
        <v>1612</v>
      </c>
    </row>
    <row r="9" spans="1:13" x14ac:dyDescent="0.45">
      <c r="A9" s="1" t="s">
        <v>624</v>
      </c>
      <c r="B9" s="26" t="s">
        <v>625</v>
      </c>
      <c r="D9" s="1" t="s">
        <v>622</v>
      </c>
      <c r="E9" s="26" t="s">
        <v>672</v>
      </c>
      <c r="G9" s="30" t="s">
        <v>818</v>
      </c>
      <c r="L9" s="33" t="s">
        <v>626</v>
      </c>
      <c r="M9" s="33" t="s">
        <v>1613</v>
      </c>
    </row>
    <row r="10" spans="1:13" x14ac:dyDescent="0.45">
      <c r="A10" s="1" t="s">
        <v>626</v>
      </c>
      <c r="B10" s="26" t="s">
        <v>627</v>
      </c>
      <c r="D10" s="1" t="s">
        <v>624</v>
      </c>
      <c r="E10" s="26" t="s">
        <v>673</v>
      </c>
      <c r="G10" s="30" t="s">
        <v>819</v>
      </c>
      <c r="H10" s="26" t="s">
        <v>679</v>
      </c>
      <c r="L10" s="33" t="s">
        <v>628</v>
      </c>
      <c r="M10" s="33" t="s">
        <v>1614</v>
      </c>
    </row>
    <row r="11" spans="1:13" x14ac:dyDescent="0.45">
      <c r="A11" s="1" t="s">
        <v>628</v>
      </c>
      <c r="B11" s="26" t="s">
        <v>629</v>
      </c>
      <c r="D11" s="1" t="s">
        <v>626</v>
      </c>
      <c r="E11" s="26" t="s">
        <v>674</v>
      </c>
      <c r="G11" s="30" t="s">
        <v>820</v>
      </c>
      <c r="H11" s="26" t="s">
        <v>821</v>
      </c>
      <c r="L11" s="33" t="s">
        <v>630</v>
      </c>
      <c r="M11" s="33" t="s">
        <v>1615</v>
      </c>
    </row>
    <row r="12" spans="1:13" x14ac:dyDescent="0.45">
      <c r="A12" s="1" t="s">
        <v>630</v>
      </c>
      <c r="B12" s="26" t="s">
        <v>631</v>
      </c>
      <c r="D12" s="1" t="s">
        <v>628</v>
      </c>
      <c r="E12" s="26" t="s">
        <v>1534</v>
      </c>
      <c r="G12" s="30" t="s">
        <v>822</v>
      </c>
      <c r="H12" s="26" t="s">
        <v>688</v>
      </c>
      <c r="L12" s="33" t="s">
        <v>632</v>
      </c>
      <c r="M12" s="33" t="s">
        <v>1616</v>
      </c>
    </row>
    <row r="13" spans="1:13" x14ac:dyDescent="0.45">
      <c r="A13" s="1" t="s">
        <v>632</v>
      </c>
      <c r="B13" s="26" t="s">
        <v>633</v>
      </c>
      <c r="D13" s="1" t="s">
        <v>630</v>
      </c>
      <c r="E13" s="26" t="s">
        <v>675</v>
      </c>
      <c r="G13" s="26" t="s">
        <v>823</v>
      </c>
      <c r="H13" s="26" t="s">
        <v>697</v>
      </c>
      <c r="L13" s="33" t="s">
        <v>634</v>
      </c>
      <c r="M13" s="33" t="s">
        <v>1617</v>
      </c>
    </row>
    <row r="14" spans="1:13" x14ac:dyDescent="0.45">
      <c r="A14" s="1" t="s">
        <v>634</v>
      </c>
      <c r="B14" s="26" t="s">
        <v>635</v>
      </c>
      <c r="D14" s="1" t="s">
        <v>632</v>
      </c>
      <c r="E14" s="26" t="s">
        <v>676</v>
      </c>
      <c r="L14" s="33" t="s">
        <v>636</v>
      </c>
      <c r="M14" s="33" t="s">
        <v>1618</v>
      </c>
    </row>
    <row r="15" spans="1:13" x14ac:dyDescent="0.45">
      <c r="A15" s="1" t="s">
        <v>636</v>
      </c>
      <c r="B15" s="26" t="s">
        <v>637</v>
      </c>
      <c r="D15" s="1" t="s">
        <v>634</v>
      </c>
      <c r="E15" s="26" t="s">
        <v>677</v>
      </c>
      <c r="L15" s="33" t="s">
        <v>638</v>
      </c>
      <c r="M15" s="33" t="s">
        <v>1619</v>
      </c>
    </row>
    <row r="16" spans="1:13" x14ac:dyDescent="0.45">
      <c r="A16" s="1" t="s">
        <v>638</v>
      </c>
      <c r="B16" s="26" t="s">
        <v>639</v>
      </c>
      <c r="D16" s="1" t="s">
        <v>636</v>
      </c>
      <c r="E16" s="26" t="s">
        <v>678</v>
      </c>
      <c r="L16" s="33" t="s">
        <v>640</v>
      </c>
      <c r="M16" s="33" t="s">
        <v>1620</v>
      </c>
    </row>
    <row r="17" spans="1:13" x14ac:dyDescent="0.45">
      <c r="A17" s="1" t="s">
        <v>640</v>
      </c>
      <c r="B17" s="26" t="s">
        <v>641</v>
      </c>
      <c r="D17" s="1" t="s">
        <v>638</v>
      </c>
      <c r="E17" s="26" t="s">
        <v>679</v>
      </c>
      <c r="L17" s="33" t="s">
        <v>642</v>
      </c>
      <c r="M17" s="33" t="s">
        <v>1621</v>
      </c>
    </row>
    <row r="18" spans="1:13" x14ac:dyDescent="0.45">
      <c r="A18" s="1" t="s">
        <v>642</v>
      </c>
      <c r="B18" s="26" t="s">
        <v>643</v>
      </c>
      <c r="D18" s="1" t="s">
        <v>640</v>
      </c>
      <c r="E18" s="26" t="s">
        <v>680</v>
      </c>
      <c r="L18" s="33" t="s">
        <v>644</v>
      </c>
      <c r="M18" s="33" t="s">
        <v>1622</v>
      </c>
    </row>
    <row r="19" spans="1:13" x14ac:dyDescent="0.45">
      <c r="A19" s="1" t="s">
        <v>644</v>
      </c>
      <c r="B19" s="26" t="s">
        <v>645</v>
      </c>
      <c r="D19" s="1" t="s">
        <v>642</v>
      </c>
      <c r="E19" s="26" t="s">
        <v>681</v>
      </c>
      <c r="L19" s="33"/>
      <c r="M19"/>
    </row>
    <row r="20" spans="1:13" x14ac:dyDescent="0.45">
      <c r="A20" s="1" t="s">
        <v>646</v>
      </c>
      <c r="B20" s="26" t="s">
        <v>647</v>
      </c>
      <c r="D20" s="1" t="s">
        <v>644</v>
      </c>
      <c r="E20" s="26" t="s">
        <v>682</v>
      </c>
      <c r="L20" s="33" t="s">
        <v>1623</v>
      </c>
      <c r="M20"/>
    </row>
    <row r="21" spans="1:13" x14ac:dyDescent="0.45">
      <c r="A21" s="1" t="s">
        <v>648</v>
      </c>
      <c r="B21" s="26" t="s">
        <v>662</v>
      </c>
      <c r="D21" s="1" t="s">
        <v>646</v>
      </c>
      <c r="E21" s="26" t="s">
        <v>683</v>
      </c>
      <c r="L21" s="33" t="s">
        <v>646</v>
      </c>
      <c r="M21" s="33" t="s">
        <v>1624</v>
      </c>
    </row>
    <row r="22" spans="1:13" x14ac:dyDescent="0.45">
      <c r="A22" s="1" t="s">
        <v>649</v>
      </c>
      <c r="B22" s="26" t="s">
        <v>663</v>
      </c>
      <c r="D22" s="1" t="s">
        <v>648</v>
      </c>
      <c r="E22" s="26" t="s">
        <v>684</v>
      </c>
      <c r="L22" s="33" t="s">
        <v>648</v>
      </c>
      <c r="M22" s="33" t="s">
        <v>1625</v>
      </c>
    </row>
    <row r="23" spans="1:13" x14ac:dyDescent="0.45">
      <c r="A23" s="1" t="s">
        <v>650</v>
      </c>
      <c r="B23" s="26" t="s">
        <v>651</v>
      </c>
      <c r="D23" s="1" t="s">
        <v>649</v>
      </c>
      <c r="E23" s="26" t="s">
        <v>685</v>
      </c>
      <c r="L23" s="33" t="s">
        <v>649</v>
      </c>
      <c r="M23" s="33" t="s">
        <v>1626</v>
      </c>
    </row>
    <row r="24" spans="1:13" x14ac:dyDescent="0.45">
      <c r="A24" s="1" t="s">
        <v>652</v>
      </c>
      <c r="B24" s="26" t="s">
        <v>653</v>
      </c>
      <c r="D24" s="1" t="s">
        <v>650</v>
      </c>
      <c r="E24" s="26" t="s">
        <v>686</v>
      </c>
      <c r="L24" s="33" t="s">
        <v>650</v>
      </c>
      <c r="M24" s="33" t="s">
        <v>1627</v>
      </c>
    </row>
    <row r="25" spans="1:13" x14ac:dyDescent="0.45">
      <c r="A25" s="1" t="s">
        <v>654</v>
      </c>
      <c r="B25" s="26" t="s">
        <v>655</v>
      </c>
      <c r="D25" s="1" t="s">
        <v>652</v>
      </c>
      <c r="E25" s="26" t="s">
        <v>687</v>
      </c>
      <c r="L25" s="33" t="s">
        <v>652</v>
      </c>
      <c r="M25" s="33" t="s">
        <v>1628</v>
      </c>
    </row>
    <row r="26" spans="1:13" x14ac:dyDescent="0.45">
      <c r="A26" s="1" t="s">
        <v>656</v>
      </c>
      <c r="B26" s="26" t="s">
        <v>657</v>
      </c>
      <c r="D26" s="1" t="s">
        <v>654</v>
      </c>
      <c r="E26" s="26" t="s">
        <v>688</v>
      </c>
      <c r="L26" s="33" t="s">
        <v>654</v>
      </c>
      <c r="M26" s="33" t="s">
        <v>1629</v>
      </c>
    </row>
    <row r="27" spans="1:13" x14ac:dyDescent="0.45">
      <c r="A27" s="1" t="s">
        <v>658</v>
      </c>
      <c r="B27" s="26" t="s">
        <v>659</v>
      </c>
      <c r="D27" s="1" t="s">
        <v>656</v>
      </c>
      <c r="E27" s="26" t="s">
        <v>689</v>
      </c>
      <c r="L27" s="33" t="s">
        <v>656</v>
      </c>
      <c r="M27" s="33" t="s">
        <v>1630</v>
      </c>
    </row>
    <row r="28" spans="1:13" x14ac:dyDescent="0.45">
      <c r="A28" s="1" t="s">
        <v>660</v>
      </c>
      <c r="B28" s="26" t="s">
        <v>661</v>
      </c>
      <c r="D28" s="1" t="s">
        <v>658</v>
      </c>
      <c r="E28" s="26" t="s">
        <v>690</v>
      </c>
      <c r="L28" s="33" t="s">
        <v>658</v>
      </c>
      <c r="M28" s="33" t="s">
        <v>1631</v>
      </c>
    </row>
    <row r="29" spans="1:13" x14ac:dyDescent="0.45">
      <c r="D29" s="1" t="s">
        <v>660</v>
      </c>
      <c r="E29" s="26" t="s">
        <v>691</v>
      </c>
      <c r="L29" s="33" t="s">
        <v>660</v>
      </c>
      <c r="M29" s="33" t="s">
        <v>1632</v>
      </c>
    </row>
    <row r="30" spans="1:13" x14ac:dyDescent="0.45">
      <c r="D30" s="1" t="s">
        <v>692</v>
      </c>
      <c r="E30" s="26" t="s">
        <v>693</v>
      </c>
      <c r="L30" s="33" t="s">
        <v>692</v>
      </c>
      <c r="M30" s="33" t="s">
        <v>1633</v>
      </c>
    </row>
    <row r="31" spans="1:13" x14ac:dyDescent="0.45">
      <c r="D31" s="1" t="s">
        <v>694</v>
      </c>
      <c r="E31" s="26" t="s">
        <v>695</v>
      </c>
      <c r="L31" s="33" t="s">
        <v>694</v>
      </c>
      <c r="M31" s="33" t="s">
        <v>1634</v>
      </c>
    </row>
    <row r="32" spans="1:13" x14ac:dyDescent="0.45">
      <c r="D32" s="27" t="s">
        <v>696</v>
      </c>
      <c r="E32" s="26" t="s">
        <v>697</v>
      </c>
      <c r="L32" s="33" t="s">
        <v>696</v>
      </c>
      <c r="M32" s="33" t="s">
        <v>1635</v>
      </c>
    </row>
    <row r="33" spans="1:13" x14ac:dyDescent="0.45">
      <c r="D33" s="27" t="s">
        <v>698</v>
      </c>
      <c r="E33" s="26" t="s">
        <v>699</v>
      </c>
      <c r="L33" s="33" t="s">
        <v>698</v>
      </c>
      <c r="M33" s="33" t="s">
        <v>1636</v>
      </c>
    </row>
    <row r="34" spans="1:13" x14ac:dyDescent="0.45">
      <c r="D34" s="27" t="s">
        <v>700</v>
      </c>
      <c r="E34" s="26" t="s">
        <v>701</v>
      </c>
      <c r="L34" s="33" t="s">
        <v>700</v>
      </c>
      <c r="M34" s="33" t="s">
        <v>1637</v>
      </c>
    </row>
    <row r="35" spans="1:13" x14ac:dyDescent="0.45">
      <c r="J35" s="29"/>
      <c r="L35" s="33" t="s">
        <v>1022</v>
      </c>
      <c r="M35" s="33" t="s">
        <v>1638</v>
      </c>
    </row>
    <row r="36" spans="1:13" x14ac:dyDescent="0.45">
      <c r="J36" s="28"/>
      <c r="L36" s="33" t="s">
        <v>1639</v>
      </c>
      <c r="M36" s="33" t="s">
        <v>1640</v>
      </c>
    </row>
    <row r="37" spans="1:13" x14ac:dyDescent="0.45">
      <c r="L37" s="33" t="s">
        <v>757</v>
      </c>
      <c r="M37" s="33" t="s">
        <v>1641</v>
      </c>
    </row>
    <row r="38" spans="1:13" x14ac:dyDescent="0.45">
      <c r="A38" s="26" t="s">
        <v>702</v>
      </c>
      <c r="L38" s="33" t="s">
        <v>756</v>
      </c>
      <c r="M38" s="33" t="s">
        <v>1642</v>
      </c>
    </row>
    <row r="39" spans="1:13" x14ac:dyDescent="0.45">
      <c r="A39" s="26" t="s">
        <v>703</v>
      </c>
      <c r="B39" s="26" t="s">
        <v>760</v>
      </c>
      <c r="L39" s="33" t="s">
        <v>755</v>
      </c>
      <c r="M39" s="33" t="s">
        <v>1643</v>
      </c>
    </row>
    <row r="40" spans="1:13" x14ac:dyDescent="0.45">
      <c r="A40" s="26" t="s">
        <v>704</v>
      </c>
      <c r="B40" s="26" t="s">
        <v>761</v>
      </c>
      <c r="L40" s="33" t="s">
        <v>754</v>
      </c>
      <c r="M40" s="33" t="s">
        <v>1644</v>
      </c>
    </row>
    <row r="41" spans="1:13" x14ac:dyDescent="0.45">
      <c r="A41" s="26" t="s">
        <v>705</v>
      </c>
      <c r="B41" s="26" t="s">
        <v>807</v>
      </c>
      <c r="L41" s="33" t="s">
        <v>753</v>
      </c>
      <c r="M41" s="33" t="s">
        <v>1645</v>
      </c>
    </row>
    <row r="42" spans="1:13" x14ac:dyDescent="0.45">
      <c r="A42" s="26" t="s">
        <v>706</v>
      </c>
      <c r="B42" s="26" t="s">
        <v>808</v>
      </c>
      <c r="L42" s="33" t="s">
        <v>752</v>
      </c>
      <c r="M42" s="33" t="s">
        <v>1646</v>
      </c>
    </row>
    <row r="43" spans="1:13" x14ac:dyDescent="0.45">
      <c r="A43" s="26" t="s">
        <v>707</v>
      </c>
      <c r="B43" s="26" t="s">
        <v>809</v>
      </c>
      <c r="L43" s="33" t="s">
        <v>750</v>
      </c>
      <c r="M43" s="33" t="s">
        <v>1647</v>
      </c>
    </row>
    <row r="44" spans="1:13" x14ac:dyDescent="0.45">
      <c r="A44" s="26" t="s">
        <v>708</v>
      </c>
      <c r="B44" s="26" t="s">
        <v>810</v>
      </c>
      <c r="L44" s="33" t="s">
        <v>749</v>
      </c>
      <c r="M44" s="33" t="s">
        <v>1648</v>
      </c>
    </row>
    <row r="45" spans="1:13" x14ac:dyDescent="0.45">
      <c r="A45" s="26" t="s">
        <v>709</v>
      </c>
      <c r="B45" s="26" t="s">
        <v>762</v>
      </c>
      <c r="L45" s="33" t="s">
        <v>748</v>
      </c>
      <c r="M45" s="33" t="s">
        <v>1649</v>
      </c>
    </row>
    <row r="46" spans="1:13" x14ac:dyDescent="0.45">
      <c r="A46" s="26" t="s">
        <v>710</v>
      </c>
      <c r="B46" s="26" t="s">
        <v>763</v>
      </c>
      <c r="L46" s="33" t="s">
        <v>747</v>
      </c>
      <c r="M46" s="33" t="s">
        <v>1650</v>
      </c>
    </row>
    <row r="47" spans="1:13" x14ac:dyDescent="0.45">
      <c r="A47" s="26" t="s">
        <v>711</v>
      </c>
      <c r="B47" s="26" t="s">
        <v>764</v>
      </c>
      <c r="L47" s="33" t="s">
        <v>746</v>
      </c>
      <c r="M47" s="33" t="s">
        <v>1651</v>
      </c>
    </row>
    <row r="48" spans="1:13" x14ac:dyDescent="0.45">
      <c r="A48" s="26" t="s">
        <v>712</v>
      </c>
      <c r="B48" s="26" t="s">
        <v>765</v>
      </c>
      <c r="L48" s="33"/>
      <c r="M48"/>
    </row>
    <row r="49" spans="1:13" x14ac:dyDescent="0.45">
      <c r="A49" s="26" t="s">
        <v>713</v>
      </c>
      <c r="B49" s="26" t="s">
        <v>766</v>
      </c>
      <c r="L49" s="33" t="s">
        <v>1652</v>
      </c>
      <c r="M49"/>
    </row>
    <row r="50" spans="1:13" x14ac:dyDescent="0.45">
      <c r="A50" s="26" t="s">
        <v>714</v>
      </c>
      <c r="B50" s="26" t="s">
        <v>767</v>
      </c>
      <c r="L50" s="33" t="s">
        <v>745</v>
      </c>
      <c r="M50" s="33" t="s">
        <v>1653</v>
      </c>
    </row>
    <row r="51" spans="1:13" x14ac:dyDescent="0.45">
      <c r="A51" s="26" t="s">
        <v>715</v>
      </c>
      <c r="B51" s="26" t="s">
        <v>768</v>
      </c>
      <c r="L51" s="33" t="s">
        <v>744</v>
      </c>
      <c r="M51" s="33" t="s">
        <v>1654</v>
      </c>
    </row>
    <row r="52" spans="1:13" x14ac:dyDescent="0.45">
      <c r="A52" s="26" t="s">
        <v>716</v>
      </c>
      <c r="B52" s="26" t="s">
        <v>769</v>
      </c>
      <c r="L52" s="33" t="s">
        <v>743</v>
      </c>
      <c r="M52" s="33" t="s">
        <v>1655</v>
      </c>
    </row>
    <row r="53" spans="1:13" x14ac:dyDescent="0.45">
      <c r="A53" s="26" t="s">
        <v>717</v>
      </c>
      <c r="B53" s="26" t="s">
        <v>770</v>
      </c>
      <c r="L53" s="33" t="s">
        <v>742</v>
      </c>
      <c r="M53" s="33" t="s">
        <v>1656</v>
      </c>
    </row>
    <row r="54" spans="1:13" x14ac:dyDescent="0.45">
      <c r="A54" s="26" t="s">
        <v>718</v>
      </c>
      <c r="B54" s="26" t="s">
        <v>811</v>
      </c>
      <c r="L54" s="33" t="s">
        <v>741</v>
      </c>
      <c r="M54" s="33" t="s">
        <v>1657</v>
      </c>
    </row>
    <row r="55" spans="1:13" x14ac:dyDescent="0.45">
      <c r="A55" s="26" t="s">
        <v>719</v>
      </c>
      <c r="B55" s="26" t="s">
        <v>812</v>
      </c>
      <c r="L55" s="33" t="s">
        <v>740</v>
      </c>
      <c r="M55" s="33" t="s">
        <v>1658</v>
      </c>
    </row>
    <row r="56" spans="1:13" x14ac:dyDescent="0.45">
      <c r="A56" s="26" t="s">
        <v>720</v>
      </c>
      <c r="B56" s="26" t="s">
        <v>771</v>
      </c>
      <c r="L56" s="33" t="s">
        <v>739</v>
      </c>
      <c r="M56" s="33" t="s">
        <v>1659</v>
      </c>
    </row>
    <row r="57" spans="1:13" x14ac:dyDescent="0.45">
      <c r="A57" s="26" t="s">
        <v>721</v>
      </c>
      <c r="B57" s="26" t="s">
        <v>772</v>
      </c>
      <c r="L57" s="33" t="s">
        <v>738</v>
      </c>
      <c r="M57" s="33" t="s">
        <v>1660</v>
      </c>
    </row>
    <row r="58" spans="1:13" x14ac:dyDescent="0.45">
      <c r="A58" s="26" t="s">
        <v>722</v>
      </c>
      <c r="B58" s="26" t="s">
        <v>773</v>
      </c>
      <c r="L58" s="33" t="s">
        <v>737</v>
      </c>
      <c r="M58" s="33" t="s">
        <v>1661</v>
      </c>
    </row>
    <row r="59" spans="1:13" x14ac:dyDescent="0.45">
      <c r="A59" s="26" t="s">
        <v>723</v>
      </c>
      <c r="B59" s="26" t="s">
        <v>774</v>
      </c>
      <c r="L59" s="33" t="s">
        <v>736</v>
      </c>
      <c r="M59" s="33" t="s">
        <v>1662</v>
      </c>
    </row>
    <row r="60" spans="1:13" x14ac:dyDescent="0.45">
      <c r="A60" s="26" t="s">
        <v>724</v>
      </c>
      <c r="B60" s="26" t="s">
        <v>775</v>
      </c>
      <c r="L60" s="33" t="s">
        <v>735</v>
      </c>
      <c r="M60" s="33" t="s">
        <v>1663</v>
      </c>
    </row>
    <row r="61" spans="1:13" x14ac:dyDescent="0.45">
      <c r="A61" s="26" t="s">
        <v>725</v>
      </c>
      <c r="B61" s="26" t="s">
        <v>776</v>
      </c>
      <c r="L61" s="33" t="s">
        <v>734</v>
      </c>
      <c r="M61" s="33" t="s">
        <v>1664</v>
      </c>
    </row>
    <row r="62" spans="1:13" x14ac:dyDescent="0.45">
      <c r="A62" s="26" t="s">
        <v>726</v>
      </c>
      <c r="B62" s="26" t="s">
        <v>777</v>
      </c>
      <c r="L62" s="33" t="s">
        <v>733</v>
      </c>
      <c r="M62" s="33" t="s">
        <v>1665</v>
      </c>
    </row>
    <row r="63" spans="1:13" x14ac:dyDescent="0.45">
      <c r="A63" s="26" t="s">
        <v>727</v>
      </c>
      <c r="B63" s="26" t="s">
        <v>778</v>
      </c>
      <c r="L63" s="33" t="s">
        <v>732</v>
      </c>
      <c r="M63" s="33" t="s">
        <v>1666</v>
      </c>
    </row>
    <row r="64" spans="1:13" x14ac:dyDescent="0.45">
      <c r="A64" s="26" t="s">
        <v>728</v>
      </c>
      <c r="B64" s="26" t="s">
        <v>779</v>
      </c>
      <c r="L64" s="33" t="s">
        <v>731</v>
      </c>
      <c r="M64" s="33" t="s">
        <v>1667</v>
      </c>
    </row>
    <row r="65" spans="1:13" x14ac:dyDescent="0.45">
      <c r="A65" s="26" t="s">
        <v>729</v>
      </c>
      <c r="B65" s="26" t="s">
        <v>780</v>
      </c>
      <c r="L65" s="33" t="s">
        <v>730</v>
      </c>
      <c r="M65" s="33" t="s">
        <v>1668</v>
      </c>
    </row>
    <row r="66" spans="1:13" x14ac:dyDescent="0.45">
      <c r="A66" s="26" t="s">
        <v>730</v>
      </c>
      <c r="B66" s="26" t="s">
        <v>781</v>
      </c>
      <c r="L66" s="33" t="s">
        <v>729</v>
      </c>
      <c r="M66" s="33" t="s">
        <v>1669</v>
      </c>
    </row>
    <row r="67" spans="1:13" x14ac:dyDescent="0.45">
      <c r="A67" s="26" t="s">
        <v>731</v>
      </c>
      <c r="B67" s="26" t="s">
        <v>782</v>
      </c>
      <c r="L67" s="33" t="s">
        <v>728</v>
      </c>
      <c r="M67" s="33" t="s">
        <v>1670</v>
      </c>
    </row>
    <row r="68" spans="1:13" x14ac:dyDescent="0.45">
      <c r="A68" s="26" t="s">
        <v>732</v>
      </c>
      <c r="B68" s="26" t="s">
        <v>783</v>
      </c>
      <c r="L68" s="33" t="s">
        <v>1671</v>
      </c>
      <c r="M68" s="33" t="s">
        <v>1672</v>
      </c>
    </row>
    <row r="69" spans="1:13" x14ac:dyDescent="0.45">
      <c r="A69" s="26" t="s">
        <v>733</v>
      </c>
      <c r="B69" s="26" t="s">
        <v>784</v>
      </c>
      <c r="L69" s="33" t="s">
        <v>727</v>
      </c>
      <c r="M69" s="33" t="s">
        <v>1673</v>
      </c>
    </row>
    <row r="70" spans="1:13" x14ac:dyDescent="0.45">
      <c r="A70" s="26" t="s">
        <v>734</v>
      </c>
      <c r="B70" s="26" t="s">
        <v>785</v>
      </c>
      <c r="L70" s="33" t="s">
        <v>726</v>
      </c>
      <c r="M70" s="33" t="s">
        <v>1674</v>
      </c>
    </row>
    <row r="71" spans="1:13" x14ac:dyDescent="0.45">
      <c r="A71" s="26" t="s">
        <v>735</v>
      </c>
      <c r="B71" s="26" t="s">
        <v>786</v>
      </c>
      <c r="L71" s="33" t="s">
        <v>725</v>
      </c>
      <c r="M71" s="33" t="s">
        <v>1675</v>
      </c>
    </row>
    <row r="72" spans="1:13" x14ac:dyDescent="0.45">
      <c r="A72" s="26" t="s">
        <v>736</v>
      </c>
      <c r="B72" s="26" t="s">
        <v>787</v>
      </c>
      <c r="L72" s="33" t="s">
        <v>724</v>
      </c>
      <c r="M72" s="33" t="s">
        <v>1676</v>
      </c>
    </row>
    <row r="73" spans="1:13" x14ac:dyDescent="0.45">
      <c r="A73" s="26" t="s">
        <v>737</v>
      </c>
      <c r="B73" s="26" t="s">
        <v>788</v>
      </c>
      <c r="L73" s="33" t="s">
        <v>723</v>
      </c>
      <c r="M73" s="33" t="s">
        <v>1677</v>
      </c>
    </row>
    <row r="74" spans="1:13" x14ac:dyDescent="0.45">
      <c r="A74" s="26" t="s">
        <v>738</v>
      </c>
      <c r="B74" s="26" t="s">
        <v>789</v>
      </c>
      <c r="L74" s="33" t="s">
        <v>722</v>
      </c>
      <c r="M74" s="33" t="s">
        <v>1678</v>
      </c>
    </row>
    <row r="75" spans="1:13" x14ac:dyDescent="0.45">
      <c r="A75" s="26" t="s">
        <v>739</v>
      </c>
      <c r="B75" s="26" t="s">
        <v>790</v>
      </c>
      <c r="L75" s="33" t="s">
        <v>1679</v>
      </c>
      <c r="M75" s="33" t="s">
        <v>1680</v>
      </c>
    </row>
    <row r="76" spans="1:13" x14ac:dyDescent="0.45">
      <c r="A76" s="26" t="s">
        <v>740</v>
      </c>
      <c r="B76" s="26" t="s">
        <v>791</v>
      </c>
      <c r="L76" s="33" t="s">
        <v>1681</v>
      </c>
      <c r="M76" s="33" t="s">
        <v>1682</v>
      </c>
    </row>
    <row r="77" spans="1:13" x14ac:dyDescent="0.45">
      <c r="A77" s="26" t="s">
        <v>741</v>
      </c>
      <c r="B77" s="26" t="s">
        <v>792</v>
      </c>
      <c r="L77" s="33" t="s">
        <v>721</v>
      </c>
      <c r="M77" s="33" t="s">
        <v>1683</v>
      </c>
    </row>
    <row r="78" spans="1:13" x14ac:dyDescent="0.45">
      <c r="A78" s="26" t="s">
        <v>742</v>
      </c>
      <c r="B78" s="26" t="s">
        <v>793</v>
      </c>
      <c r="L78" s="33" t="s">
        <v>1684</v>
      </c>
      <c r="M78" s="33" t="s">
        <v>1685</v>
      </c>
    </row>
    <row r="79" spans="1:13" x14ac:dyDescent="0.45">
      <c r="A79" s="26" t="s">
        <v>743</v>
      </c>
      <c r="B79" s="26" t="s">
        <v>794</v>
      </c>
      <c r="L79" s="33" t="s">
        <v>1686</v>
      </c>
      <c r="M79" s="33" t="s">
        <v>1687</v>
      </c>
    </row>
    <row r="80" spans="1:13" x14ac:dyDescent="0.45">
      <c r="A80" s="26" t="s">
        <v>744</v>
      </c>
      <c r="B80" s="26" t="s">
        <v>795</v>
      </c>
      <c r="L80" s="33" t="s">
        <v>1688</v>
      </c>
      <c r="M80" s="33" t="s">
        <v>1689</v>
      </c>
    </row>
    <row r="81" spans="1:13" x14ac:dyDescent="0.45">
      <c r="A81" s="26" t="s">
        <v>745</v>
      </c>
      <c r="B81" s="26" t="s">
        <v>796</v>
      </c>
      <c r="L81" s="33"/>
      <c r="M81"/>
    </row>
    <row r="82" spans="1:13" x14ac:dyDescent="0.45">
      <c r="A82" s="26" t="s">
        <v>746</v>
      </c>
      <c r="B82" s="26" t="s">
        <v>797</v>
      </c>
      <c r="L82" s="33" t="s">
        <v>1690</v>
      </c>
      <c r="M82"/>
    </row>
    <row r="83" spans="1:13" x14ac:dyDescent="0.45">
      <c r="A83" s="26" t="s">
        <v>747</v>
      </c>
      <c r="B83" s="26" t="s">
        <v>798</v>
      </c>
      <c r="L83" s="33" t="s">
        <v>899</v>
      </c>
      <c r="M83" s="33" t="s">
        <v>1691</v>
      </c>
    </row>
    <row r="84" spans="1:13" x14ac:dyDescent="0.45">
      <c r="A84" s="26" t="s">
        <v>748</v>
      </c>
      <c r="B84" s="26" t="s">
        <v>799</v>
      </c>
      <c r="L84" s="33" t="s">
        <v>1692</v>
      </c>
      <c r="M84" s="33" t="s">
        <v>1693</v>
      </c>
    </row>
    <row r="85" spans="1:13" x14ac:dyDescent="0.45">
      <c r="A85" s="26" t="s">
        <v>749</v>
      </c>
      <c r="B85" s="26" t="s">
        <v>800</v>
      </c>
      <c r="L85" s="33" t="s">
        <v>1694</v>
      </c>
      <c r="M85" s="33" t="s">
        <v>1695</v>
      </c>
    </row>
    <row r="86" spans="1:13" x14ac:dyDescent="0.45">
      <c r="A86" s="26" t="s">
        <v>750</v>
      </c>
      <c r="B86" s="26" t="s">
        <v>751</v>
      </c>
      <c r="L86" s="33" t="s">
        <v>1696</v>
      </c>
      <c r="M86" s="33" t="s">
        <v>1697</v>
      </c>
    </row>
    <row r="87" spans="1:13" x14ac:dyDescent="0.45">
      <c r="A87" s="26" t="s">
        <v>752</v>
      </c>
      <c r="B87" s="26" t="s">
        <v>801</v>
      </c>
      <c r="L87" s="33" t="s">
        <v>720</v>
      </c>
      <c r="M87" s="33" t="s">
        <v>1698</v>
      </c>
    </row>
    <row r="88" spans="1:13" x14ac:dyDescent="0.45">
      <c r="A88" s="26" t="s">
        <v>753</v>
      </c>
      <c r="B88" s="26" t="s">
        <v>802</v>
      </c>
      <c r="L88" s="33" t="s">
        <v>1699</v>
      </c>
      <c r="M88" s="33" t="s">
        <v>1700</v>
      </c>
    </row>
    <row r="89" spans="1:13" x14ac:dyDescent="0.45">
      <c r="A89" s="26" t="s">
        <v>754</v>
      </c>
      <c r="B89" s="26" t="s">
        <v>803</v>
      </c>
      <c r="L89" s="33" t="s">
        <v>1701</v>
      </c>
      <c r="M89" s="33" t="s">
        <v>1702</v>
      </c>
    </row>
    <row r="90" spans="1:13" x14ac:dyDescent="0.45">
      <c r="A90" s="26" t="s">
        <v>754</v>
      </c>
      <c r="B90" s="26" t="s">
        <v>804</v>
      </c>
      <c r="L90" s="33" t="s">
        <v>1703</v>
      </c>
      <c r="M90" s="33" t="s">
        <v>1704</v>
      </c>
    </row>
    <row r="91" spans="1:13" x14ac:dyDescent="0.45">
      <c r="A91" s="26" t="s">
        <v>755</v>
      </c>
      <c r="B91" s="26" t="s">
        <v>805</v>
      </c>
      <c r="L91" s="33" t="s">
        <v>986</v>
      </c>
      <c r="M91" s="33" t="s">
        <v>1705</v>
      </c>
    </row>
    <row r="92" spans="1:13" x14ac:dyDescent="0.45">
      <c r="A92" s="26" t="s">
        <v>756</v>
      </c>
      <c r="B92" s="26" t="s">
        <v>787</v>
      </c>
      <c r="L92" s="33" t="s">
        <v>1706</v>
      </c>
      <c r="M92" s="33" t="s">
        <v>1707</v>
      </c>
    </row>
    <row r="93" spans="1:13" x14ac:dyDescent="0.45">
      <c r="A93" s="26" t="s">
        <v>757</v>
      </c>
      <c r="B93" s="26" t="s">
        <v>806</v>
      </c>
      <c r="L93" s="33" t="s">
        <v>1708</v>
      </c>
      <c r="M93" s="33" t="s">
        <v>1709</v>
      </c>
    </row>
    <row r="94" spans="1:13" x14ac:dyDescent="0.45">
      <c r="L94" s="33" t="s">
        <v>1710</v>
      </c>
      <c r="M94" s="33" t="s">
        <v>1711</v>
      </c>
    </row>
    <row r="95" spans="1:13" x14ac:dyDescent="0.45">
      <c r="L95" s="33" t="s">
        <v>858</v>
      </c>
      <c r="M95" s="33" t="s">
        <v>1712</v>
      </c>
    </row>
    <row r="96" spans="1:13" x14ac:dyDescent="0.45">
      <c r="L96" s="33" t="s">
        <v>1713</v>
      </c>
      <c r="M96" s="33" t="s">
        <v>1714</v>
      </c>
    </row>
    <row r="97" spans="12:13" x14ac:dyDescent="0.45">
      <c r="L97" s="33" t="s">
        <v>1715</v>
      </c>
      <c r="M97" s="33" t="s">
        <v>1716</v>
      </c>
    </row>
    <row r="98" spans="12:13" x14ac:dyDescent="0.45">
      <c r="L98" s="33" t="s">
        <v>1717</v>
      </c>
      <c r="M98" s="33" t="s">
        <v>1718</v>
      </c>
    </row>
    <row r="99" spans="12:13" x14ac:dyDescent="0.45">
      <c r="L99" s="33" t="s">
        <v>1150</v>
      </c>
      <c r="M99" s="33" t="s">
        <v>1719</v>
      </c>
    </row>
    <row r="100" spans="12:13" x14ac:dyDescent="0.45">
      <c r="L100" s="33" t="s">
        <v>1720</v>
      </c>
      <c r="M100" s="33" t="s">
        <v>1721</v>
      </c>
    </row>
    <row r="101" spans="12:13" x14ac:dyDescent="0.45">
      <c r="L101" s="33" t="s">
        <v>1722</v>
      </c>
      <c r="M101" s="33" t="s">
        <v>1723</v>
      </c>
    </row>
    <row r="102" spans="12:13" x14ac:dyDescent="0.45">
      <c r="L102" s="33" t="s">
        <v>1724</v>
      </c>
      <c r="M102" s="33" t="s">
        <v>1725</v>
      </c>
    </row>
    <row r="103" spans="12:13" x14ac:dyDescent="0.45">
      <c r="L103" s="33" t="s">
        <v>1287</v>
      </c>
      <c r="M103" s="33" t="s">
        <v>1726</v>
      </c>
    </row>
    <row r="104" spans="12:13" x14ac:dyDescent="0.45">
      <c r="L104" s="33" t="s">
        <v>1727</v>
      </c>
      <c r="M104" s="33" t="s">
        <v>1728</v>
      </c>
    </row>
    <row r="105" spans="12:13" x14ac:dyDescent="0.45">
      <c r="L105" s="33" t="s">
        <v>1729</v>
      </c>
      <c r="M105" s="33" t="s">
        <v>1730</v>
      </c>
    </row>
    <row r="106" spans="12:13" x14ac:dyDescent="0.45">
      <c r="L106" s="33" t="s">
        <v>1731</v>
      </c>
      <c r="M106" s="33" t="s">
        <v>1732</v>
      </c>
    </row>
    <row r="107" spans="12:13" x14ac:dyDescent="0.45">
      <c r="L107" s="33" t="s">
        <v>872</v>
      </c>
      <c r="M107" s="33" t="s">
        <v>1733</v>
      </c>
    </row>
    <row r="108" spans="12:13" x14ac:dyDescent="0.45">
      <c r="L108" s="33" t="s">
        <v>1734</v>
      </c>
      <c r="M108" s="33" t="s">
        <v>1735</v>
      </c>
    </row>
    <row r="109" spans="12:13" x14ac:dyDescent="0.45">
      <c r="L109" s="33" t="s">
        <v>1736</v>
      </c>
      <c r="M109" s="33" t="s">
        <v>1737</v>
      </c>
    </row>
    <row r="110" spans="12:13" x14ac:dyDescent="0.45">
      <c r="L110" s="33"/>
      <c r="M110"/>
    </row>
    <row r="111" spans="12:13" x14ac:dyDescent="0.45">
      <c r="L111" s="33" t="s">
        <v>1738</v>
      </c>
      <c r="M111"/>
    </row>
    <row r="112" spans="12:13" x14ac:dyDescent="0.45">
      <c r="L112" s="33" t="s">
        <v>1739</v>
      </c>
      <c r="M112" s="33" t="s">
        <v>1740</v>
      </c>
    </row>
    <row r="113" spans="12:13" x14ac:dyDescent="0.45">
      <c r="L113" s="33" t="s">
        <v>719</v>
      </c>
      <c r="M113" s="33" t="s">
        <v>1741</v>
      </c>
    </row>
    <row r="114" spans="12:13" x14ac:dyDescent="0.45">
      <c r="L114" s="33" t="s">
        <v>718</v>
      </c>
      <c r="M114" s="33" t="s">
        <v>1742</v>
      </c>
    </row>
    <row r="115" spans="12:13" x14ac:dyDescent="0.45">
      <c r="L115" s="33" t="s">
        <v>1743</v>
      </c>
      <c r="M115" s="33" t="s">
        <v>1744</v>
      </c>
    </row>
    <row r="116" spans="12:13" x14ac:dyDescent="0.45">
      <c r="L116" s="33" t="s">
        <v>1745</v>
      </c>
      <c r="M116" s="33" t="s">
        <v>1746</v>
      </c>
    </row>
    <row r="117" spans="12:13" x14ac:dyDescent="0.45">
      <c r="L117" s="33" t="s">
        <v>941</v>
      </c>
      <c r="M117" s="33" t="s">
        <v>1747</v>
      </c>
    </row>
    <row r="118" spans="12:13" x14ac:dyDescent="0.45">
      <c r="L118" s="33" t="s">
        <v>1748</v>
      </c>
      <c r="M118" s="33" t="s">
        <v>1749</v>
      </c>
    </row>
    <row r="119" spans="12:13" x14ac:dyDescent="0.45">
      <c r="L119" s="33" t="s">
        <v>1750</v>
      </c>
      <c r="M119" s="33" t="s">
        <v>1751</v>
      </c>
    </row>
    <row r="120" spans="12:13" x14ac:dyDescent="0.45">
      <c r="L120" s="33" t="s">
        <v>1752</v>
      </c>
      <c r="M120" s="33" t="s">
        <v>1753</v>
      </c>
    </row>
    <row r="121" spans="12:13" x14ac:dyDescent="0.45">
      <c r="L121" s="33" t="s">
        <v>1038</v>
      </c>
      <c r="M121" s="33" t="s">
        <v>1754</v>
      </c>
    </row>
    <row r="122" spans="12:13" x14ac:dyDescent="0.45">
      <c r="L122" s="33" t="s">
        <v>1755</v>
      </c>
      <c r="M122" s="33" t="s">
        <v>1756</v>
      </c>
    </row>
    <row r="123" spans="12:13" x14ac:dyDescent="0.45">
      <c r="L123" s="33" t="s">
        <v>1757</v>
      </c>
      <c r="M123" s="33" t="s">
        <v>1758</v>
      </c>
    </row>
    <row r="124" spans="12:13" x14ac:dyDescent="0.45">
      <c r="L124" s="33" t="s">
        <v>1759</v>
      </c>
      <c r="M124" s="33" t="s">
        <v>1760</v>
      </c>
    </row>
    <row r="125" spans="12:13" x14ac:dyDescent="0.45">
      <c r="L125" s="33" t="s">
        <v>1098</v>
      </c>
      <c r="M125" s="33" t="s">
        <v>1761</v>
      </c>
    </row>
    <row r="126" spans="12:13" x14ac:dyDescent="0.45">
      <c r="L126" s="33" t="s">
        <v>1762</v>
      </c>
      <c r="M126" s="33" t="s">
        <v>1763</v>
      </c>
    </row>
    <row r="127" spans="12:13" x14ac:dyDescent="0.45">
      <c r="L127" s="33" t="s">
        <v>1764</v>
      </c>
      <c r="M127" s="33" t="s">
        <v>1765</v>
      </c>
    </row>
    <row r="128" spans="12:13" x14ac:dyDescent="0.45">
      <c r="L128" s="33" t="s">
        <v>1766</v>
      </c>
      <c r="M128" s="33" t="s">
        <v>1767</v>
      </c>
    </row>
    <row r="129" spans="12:13" x14ac:dyDescent="0.45">
      <c r="L129" s="33" t="s">
        <v>936</v>
      </c>
      <c r="M129" s="33" t="s">
        <v>1768</v>
      </c>
    </row>
    <row r="130" spans="12:13" x14ac:dyDescent="0.45">
      <c r="L130" s="33" t="s">
        <v>717</v>
      </c>
      <c r="M130" s="33" t="s">
        <v>1769</v>
      </c>
    </row>
    <row r="131" spans="12:13" x14ac:dyDescent="0.45">
      <c r="L131" s="33" t="s">
        <v>716</v>
      </c>
      <c r="M131" s="33" t="s">
        <v>1770</v>
      </c>
    </row>
    <row r="132" spans="12:13" x14ac:dyDescent="0.45">
      <c r="L132" s="33" t="s">
        <v>715</v>
      </c>
      <c r="M132" s="33" t="s">
        <v>1771</v>
      </c>
    </row>
    <row r="133" spans="12:13" x14ac:dyDescent="0.45">
      <c r="L133" s="33" t="s">
        <v>714</v>
      </c>
      <c r="M133" s="33" t="s">
        <v>1772</v>
      </c>
    </row>
    <row r="134" spans="12:13" x14ac:dyDescent="0.45">
      <c r="L134" s="33" t="s">
        <v>713</v>
      </c>
      <c r="M134" s="33" t="s">
        <v>1773</v>
      </c>
    </row>
    <row r="135" spans="12:13" x14ac:dyDescent="0.45">
      <c r="L135" s="33" t="s">
        <v>712</v>
      </c>
      <c r="M135" s="33" t="s">
        <v>1774</v>
      </c>
    </row>
    <row r="136" spans="12:13" x14ac:dyDescent="0.45">
      <c r="L136" s="33" t="s">
        <v>711</v>
      </c>
      <c r="M136" s="33" t="s">
        <v>1775</v>
      </c>
    </row>
    <row r="137" spans="12:13" x14ac:dyDescent="0.45">
      <c r="L137" s="33" t="s">
        <v>710</v>
      </c>
      <c r="M137" s="33" t="s">
        <v>1776</v>
      </c>
    </row>
    <row r="138" spans="12:13" x14ac:dyDescent="0.45">
      <c r="L138" s="33" t="s">
        <v>1777</v>
      </c>
      <c r="M138" s="33" t="s">
        <v>1778</v>
      </c>
    </row>
    <row r="139" spans="12:13" x14ac:dyDescent="0.45">
      <c r="L139" s="33" t="s">
        <v>1779</v>
      </c>
      <c r="M139" s="33" t="s">
        <v>1780</v>
      </c>
    </row>
    <row r="140" spans="12:13" x14ac:dyDescent="0.45">
      <c r="L140" s="33" t="s">
        <v>1781</v>
      </c>
      <c r="M140" s="33" t="s">
        <v>1782</v>
      </c>
    </row>
    <row r="141" spans="12:13" x14ac:dyDescent="0.45">
      <c r="L141" s="33" t="s">
        <v>967</v>
      </c>
      <c r="M141" s="33" t="s">
        <v>1783</v>
      </c>
    </row>
    <row r="142" spans="12:13" x14ac:dyDescent="0.45">
      <c r="L142" s="33" t="s">
        <v>1784</v>
      </c>
      <c r="M142" s="33" t="s">
        <v>1785</v>
      </c>
    </row>
    <row r="143" spans="12:13" x14ac:dyDescent="0.45">
      <c r="L143" s="33" t="s">
        <v>1786</v>
      </c>
      <c r="M143" s="33" t="s">
        <v>1787</v>
      </c>
    </row>
    <row r="144" spans="12:13" x14ac:dyDescent="0.45">
      <c r="L144" s="33" t="s">
        <v>1788</v>
      </c>
      <c r="M144" s="33" t="s">
        <v>1789</v>
      </c>
    </row>
    <row r="145" spans="12:13" x14ac:dyDescent="0.45">
      <c r="L145" s="33" t="s">
        <v>1042</v>
      </c>
      <c r="M145" s="33" t="s">
        <v>1790</v>
      </c>
    </row>
    <row r="146" spans="12:13" x14ac:dyDescent="0.45">
      <c r="L146" s="33" t="s">
        <v>1791</v>
      </c>
      <c r="M146" s="33" t="s">
        <v>1792</v>
      </c>
    </row>
    <row r="147" spans="12:13" x14ac:dyDescent="0.45">
      <c r="L147" s="33" t="s">
        <v>1793</v>
      </c>
      <c r="M147" s="33" t="s">
        <v>1794</v>
      </c>
    </row>
    <row r="148" spans="12:13" x14ac:dyDescent="0.45">
      <c r="L148" s="33"/>
      <c r="M148"/>
    </row>
    <row r="149" spans="12:13" x14ac:dyDescent="0.45">
      <c r="L149" s="33" t="s">
        <v>1795</v>
      </c>
      <c r="M149"/>
    </row>
    <row r="150" spans="12:13" x14ac:dyDescent="0.45">
      <c r="L150" s="33" t="s">
        <v>1796</v>
      </c>
      <c r="M150" s="33" t="s">
        <v>1797</v>
      </c>
    </row>
    <row r="151" spans="12:13" x14ac:dyDescent="0.45">
      <c r="L151" s="33" t="s">
        <v>962</v>
      </c>
      <c r="M151" s="33" t="s">
        <v>1798</v>
      </c>
    </row>
    <row r="152" spans="12:13" x14ac:dyDescent="0.45">
      <c r="L152" s="33" t="s">
        <v>1799</v>
      </c>
      <c r="M152" s="33" t="s">
        <v>1800</v>
      </c>
    </row>
    <row r="153" spans="12:13" x14ac:dyDescent="0.45">
      <c r="L153" s="33" t="s">
        <v>1801</v>
      </c>
      <c r="M153" s="33" t="s">
        <v>1802</v>
      </c>
    </row>
    <row r="154" spans="12:13" x14ac:dyDescent="0.45">
      <c r="L154" s="33" t="s">
        <v>1803</v>
      </c>
      <c r="M154" s="33" t="s">
        <v>1804</v>
      </c>
    </row>
    <row r="155" spans="12:13" x14ac:dyDescent="0.45">
      <c r="L155" s="33" t="s">
        <v>1454</v>
      </c>
      <c r="M155" s="33" t="s">
        <v>1805</v>
      </c>
    </row>
    <row r="156" spans="12:13" x14ac:dyDescent="0.45">
      <c r="L156" s="33" t="s">
        <v>1806</v>
      </c>
      <c r="M156" s="33" t="s">
        <v>1807</v>
      </c>
    </row>
    <row r="157" spans="12:13" x14ac:dyDescent="0.45">
      <c r="L157" s="33" t="s">
        <v>1808</v>
      </c>
      <c r="M157" s="33" t="s">
        <v>1809</v>
      </c>
    </row>
    <row r="158" spans="12:13" x14ac:dyDescent="0.45">
      <c r="L158" s="33" t="s">
        <v>1810</v>
      </c>
      <c r="M158" s="33" t="s">
        <v>1811</v>
      </c>
    </row>
    <row r="159" spans="12:13" x14ac:dyDescent="0.45">
      <c r="L159" s="33" t="s">
        <v>1003</v>
      </c>
      <c r="M159" s="33" t="s">
        <v>1812</v>
      </c>
    </row>
    <row r="160" spans="12:13" x14ac:dyDescent="0.45">
      <c r="L160" s="33" t="s">
        <v>1813</v>
      </c>
      <c r="M160" s="33" t="s">
        <v>1814</v>
      </c>
    </row>
    <row r="161" spans="12:13" x14ac:dyDescent="0.45">
      <c r="L161" s="33" t="s">
        <v>709</v>
      </c>
      <c r="M161" s="33" t="s">
        <v>1815</v>
      </c>
    </row>
    <row r="162" spans="12:13" x14ac:dyDescent="0.45">
      <c r="L162" s="33" t="s">
        <v>1816</v>
      </c>
      <c r="M162" s="33" t="s">
        <v>1817</v>
      </c>
    </row>
    <row r="163" spans="12:13" x14ac:dyDescent="0.45">
      <c r="L163" s="33" t="s">
        <v>1818</v>
      </c>
      <c r="M163" s="33" t="s">
        <v>1819</v>
      </c>
    </row>
    <row r="164" spans="12:13" x14ac:dyDescent="0.45">
      <c r="L164" s="33" t="s">
        <v>1820</v>
      </c>
      <c r="M164" s="33" t="s">
        <v>1821</v>
      </c>
    </row>
    <row r="165" spans="12:13" x14ac:dyDescent="0.45">
      <c r="L165" s="33" t="s">
        <v>1822</v>
      </c>
      <c r="M165" s="33" t="s">
        <v>1823</v>
      </c>
    </row>
    <row r="166" spans="12:13" x14ac:dyDescent="0.45">
      <c r="L166" s="33" t="s">
        <v>1824</v>
      </c>
      <c r="M166" s="33" t="s">
        <v>1825</v>
      </c>
    </row>
    <row r="167" spans="12:13" x14ac:dyDescent="0.45">
      <c r="L167" s="33" t="s">
        <v>893</v>
      </c>
      <c r="M167" s="33" t="s">
        <v>1826</v>
      </c>
    </row>
    <row r="168" spans="12:13" x14ac:dyDescent="0.45">
      <c r="L168" s="33" t="s">
        <v>1827</v>
      </c>
      <c r="M168" s="33" t="s">
        <v>1828</v>
      </c>
    </row>
    <row r="169" spans="12:13" x14ac:dyDescent="0.45">
      <c r="L169" s="33" t="s">
        <v>1829</v>
      </c>
      <c r="M169" s="33" t="s">
        <v>1830</v>
      </c>
    </row>
    <row r="170" spans="12:13" x14ac:dyDescent="0.45">
      <c r="L170" s="33" t="s">
        <v>1831</v>
      </c>
      <c r="M170" s="33" t="s">
        <v>1832</v>
      </c>
    </row>
    <row r="171" spans="12:13" x14ac:dyDescent="0.45">
      <c r="L171" s="33" t="s">
        <v>868</v>
      </c>
      <c r="M171" s="33" t="s">
        <v>1833</v>
      </c>
    </row>
    <row r="172" spans="12:13" x14ac:dyDescent="0.45">
      <c r="L172" s="33" t="s">
        <v>1834</v>
      </c>
      <c r="M172" s="33" t="s">
        <v>1835</v>
      </c>
    </row>
    <row r="173" spans="12:13" x14ac:dyDescent="0.45">
      <c r="L173" s="33" t="s">
        <v>1836</v>
      </c>
      <c r="M173" s="33" t="s">
        <v>1837</v>
      </c>
    </row>
    <row r="174" spans="12:13" x14ac:dyDescent="0.45">
      <c r="L174" s="33" t="s">
        <v>1838</v>
      </c>
      <c r="M174" s="33" t="s">
        <v>1839</v>
      </c>
    </row>
    <row r="175" spans="12:13" x14ac:dyDescent="0.45">
      <c r="L175" s="33" t="s">
        <v>1141</v>
      </c>
      <c r="M175" s="33" t="s">
        <v>1840</v>
      </c>
    </row>
    <row r="176" spans="12:13" x14ac:dyDescent="0.45">
      <c r="L176" s="33" t="s">
        <v>1841</v>
      </c>
      <c r="M176" s="33" t="s">
        <v>1842</v>
      </c>
    </row>
    <row r="177" spans="12:13" x14ac:dyDescent="0.45">
      <c r="L177" s="33" t="s">
        <v>1843</v>
      </c>
      <c r="M177" s="33" t="s">
        <v>1844</v>
      </c>
    </row>
    <row r="178" spans="12:13" x14ac:dyDescent="0.45">
      <c r="L178" s="33" t="s">
        <v>1845</v>
      </c>
      <c r="M178" s="33" t="s">
        <v>1846</v>
      </c>
    </row>
    <row r="179" spans="12:13" x14ac:dyDescent="0.45">
      <c r="L179" s="33" t="s">
        <v>992</v>
      </c>
      <c r="M179" s="33" t="s">
        <v>1847</v>
      </c>
    </row>
    <row r="180" spans="12:13" x14ac:dyDescent="0.45">
      <c r="L180" s="33" t="s">
        <v>1848</v>
      </c>
      <c r="M180" s="33" t="s">
        <v>1849</v>
      </c>
    </row>
    <row r="181" spans="12:13" x14ac:dyDescent="0.45">
      <c r="L181" s="33" t="s">
        <v>1850</v>
      </c>
      <c r="M181" s="33" t="s">
        <v>1851</v>
      </c>
    </row>
    <row r="182" spans="12:13" x14ac:dyDescent="0.45">
      <c r="L182" s="33" t="s">
        <v>1852</v>
      </c>
      <c r="M182" s="33" t="s">
        <v>1853</v>
      </c>
    </row>
    <row r="183" spans="12:13" x14ac:dyDescent="0.45">
      <c r="L183" s="33" t="s">
        <v>1136</v>
      </c>
      <c r="M183" s="33" t="s">
        <v>1854</v>
      </c>
    </row>
    <row r="184" spans="12:13" x14ac:dyDescent="0.45">
      <c r="L184" s="33" t="s">
        <v>1855</v>
      </c>
      <c r="M184" s="33" t="s">
        <v>1856</v>
      </c>
    </row>
    <row r="185" spans="12:13" x14ac:dyDescent="0.45">
      <c r="L185" s="33" t="s">
        <v>1857</v>
      </c>
      <c r="M185" s="33" t="s">
        <v>1858</v>
      </c>
    </row>
    <row r="186" spans="12:13" x14ac:dyDescent="0.45">
      <c r="L186" s="33" t="s">
        <v>1859</v>
      </c>
      <c r="M186" s="33" t="s">
        <v>1860</v>
      </c>
    </row>
    <row r="187" spans="12:13" x14ac:dyDescent="0.45">
      <c r="L187" s="33" t="s">
        <v>708</v>
      </c>
      <c r="M187" s="33" t="s">
        <v>1861</v>
      </c>
    </row>
    <row r="188" spans="12:13" x14ac:dyDescent="0.45">
      <c r="L188" s="33" t="s">
        <v>1862</v>
      </c>
      <c r="M188" s="33" t="s">
        <v>1863</v>
      </c>
    </row>
    <row r="189" spans="12:13" x14ac:dyDescent="0.45">
      <c r="L189" s="33" t="s">
        <v>1864</v>
      </c>
      <c r="M189" s="33" t="s">
        <v>1865</v>
      </c>
    </row>
    <row r="190" spans="12:13" x14ac:dyDescent="0.45">
      <c r="L190" s="33" t="s">
        <v>1866</v>
      </c>
      <c r="M190" s="33" t="s">
        <v>1867</v>
      </c>
    </row>
    <row r="191" spans="12:13" x14ac:dyDescent="0.45">
      <c r="L191" s="33" t="s">
        <v>1868</v>
      </c>
      <c r="M191" s="33" t="s">
        <v>1869</v>
      </c>
    </row>
    <row r="192" spans="12:13" x14ac:dyDescent="0.45">
      <c r="L192" s="33" t="s">
        <v>1870</v>
      </c>
      <c r="M192" s="33" t="s">
        <v>1871</v>
      </c>
    </row>
    <row r="193" spans="12:13" x14ac:dyDescent="0.45">
      <c r="L193" s="33" t="s">
        <v>1872</v>
      </c>
      <c r="M193" s="33" t="s">
        <v>1873</v>
      </c>
    </row>
    <row r="194" spans="12:13" x14ac:dyDescent="0.45">
      <c r="L194" s="33" t="s">
        <v>1874</v>
      </c>
      <c r="M194" s="33" t="s">
        <v>1875</v>
      </c>
    </row>
    <row r="195" spans="12:13" x14ac:dyDescent="0.45">
      <c r="L195" s="33" t="s">
        <v>1232</v>
      </c>
      <c r="M195" s="33" t="s">
        <v>1876</v>
      </c>
    </row>
    <row r="196" spans="12:13" x14ac:dyDescent="0.45">
      <c r="L196" s="33" t="s">
        <v>1877</v>
      </c>
      <c r="M196" s="33" t="s">
        <v>1878</v>
      </c>
    </row>
    <row r="197" spans="12:13" x14ac:dyDescent="0.45">
      <c r="L197" s="33" t="s">
        <v>1879</v>
      </c>
      <c r="M197" s="33" t="s">
        <v>1880</v>
      </c>
    </row>
    <row r="198" spans="12:13" x14ac:dyDescent="0.45">
      <c r="L198" s="33" t="s">
        <v>1881</v>
      </c>
      <c r="M198" s="33" t="s">
        <v>1882</v>
      </c>
    </row>
    <row r="199" spans="12:13" x14ac:dyDescent="0.45">
      <c r="L199" s="33"/>
      <c r="M199"/>
    </row>
    <row r="200" spans="12:13" x14ac:dyDescent="0.45">
      <c r="L200" s="33" t="s">
        <v>1883</v>
      </c>
      <c r="M200"/>
    </row>
    <row r="201" spans="12:13" x14ac:dyDescent="0.45">
      <c r="L201" s="33" t="s">
        <v>1126</v>
      </c>
      <c r="M201" s="33" t="s">
        <v>1884</v>
      </c>
    </row>
    <row r="202" spans="12:13" x14ac:dyDescent="0.45">
      <c r="L202" s="33" t="s">
        <v>707</v>
      </c>
      <c r="M202" s="33" t="s">
        <v>1885</v>
      </c>
    </row>
    <row r="203" spans="12:13" x14ac:dyDescent="0.45">
      <c r="L203" s="33" t="s">
        <v>705</v>
      </c>
      <c r="M203" s="33" t="s">
        <v>1886</v>
      </c>
    </row>
    <row r="204" spans="12:13" x14ac:dyDescent="0.45">
      <c r="L204" s="33" t="s">
        <v>706</v>
      </c>
      <c r="M204" s="33" t="s">
        <v>1887</v>
      </c>
    </row>
    <row r="205" spans="12:13" x14ac:dyDescent="0.45">
      <c r="L205" s="33" t="s">
        <v>704</v>
      </c>
      <c r="M205" s="33" t="s">
        <v>1888</v>
      </c>
    </row>
    <row r="206" spans="12:13" x14ac:dyDescent="0.45">
      <c r="L206" s="33" t="s">
        <v>1889</v>
      </c>
      <c r="M206" s="33" t="s">
        <v>1890</v>
      </c>
    </row>
    <row r="207" spans="12:13" x14ac:dyDescent="0.45">
      <c r="L207" s="33" t="s">
        <v>1891</v>
      </c>
      <c r="M207" s="33" t="s">
        <v>1892</v>
      </c>
    </row>
    <row r="208" spans="12:13" x14ac:dyDescent="0.45">
      <c r="L208" s="33" t="s">
        <v>1893</v>
      </c>
      <c r="M208" s="33" t="s">
        <v>1894</v>
      </c>
    </row>
    <row r="209" spans="12:13" x14ac:dyDescent="0.45">
      <c r="L209" s="33" t="s">
        <v>1479</v>
      </c>
      <c r="M209" s="33" t="s">
        <v>1895</v>
      </c>
    </row>
    <row r="210" spans="12:13" x14ac:dyDescent="0.45">
      <c r="L210" s="33" t="s">
        <v>1896</v>
      </c>
      <c r="M210" s="33" t="s">
        <v>1897</v>
      </c>
    </row>
    <row r="211" spans="12:13" x14ac:dyDescent="0.45">
      <c r="L211" s="33" t="s">
        <v>1898</v>
      </c>
      <c r="M211" s="33" t="s">
        <v>1899</v>
      </c>
    </row>
    <row r="212" spans="12:13" x14ac:dyDescent="0.45">
      <c r="L212" s="33" t="s">
        <v>1900</v>
      </c>
      <c r="M212" s="33" t="s">
        <v>1901</v>
      </c>
    </row>
    <row r="213" spans="12:13" x14ac:dyDescent="0.45">
      <c r="L213" s="33" t="s">
        <v>890</v>
      </c>
      <c r="M213" s="33" t="s">
        <v>1902</v>
      </c>
    </row>
    <row r="214" spans="12:13" x14ac:dyDescent="0.45">
      <c r="L214" s="33" t="s">
        <v>1903</v>
      </c>
      <c r="M214" s="33" t="s">
        <v>1904</v>
      </c>
    </row>
    <row r="215" spans="12:13" x14ac:dyDescent="0.45">
      <c r="L215" s="33" t="s">
        <v>1905</v>
      </c>
      <c r="M215" s="33" t="s">
        <v>1906</v>
      </c>
    </row>
    <row r="216" spans="12:13" x14ac:dyDescent="0.45">
      <c r="L216" s="33" t="s">
        <v>1907</v>
      </c>
      <c r="M216" s="33" t="s">
        <v>1908</v>
      </c>
    </row>
    <row r="217" spans="12:13" x14ac:dyDescent="0.45">
      <c r="L217" s="33" t="s">
        <v>1068</v>
      </c>
      <c r="M217" s="33" t="s">
        <v>1909</v>
      </c>
    </row>
    <row r="218" spans="12:13" x14ac:dyDescent="0.45">
      <c r="L218" s="33" t="s">
        <v>1910</v>
      </c>
      <c r="M218" s="33" t="s">
        <v>1911</v>
      </c>
    </row>
    <row r="219" spans="12:13" x14ac:dyDescent="0.45">
      <c r="L219" s="33" t="s">
        <v>1912</v>
      </c>
      <c r="M219" s="33" t="s">
        <v>1913</v>
      </c>
    </row>
    <row r="220" spans="12:13" x14ac:dyDescent="0.45">
      <c r="L220" s="33" t="s">
        <v>1914</v>
      </c>
      <c r="M220" s="33" t="s">
        <v>1915</v>
      </c>
    </row>
    <row r="221" spans="12:13" x14ac:dyDescent="0.45">
      <c r="L221" s="33" t="s">
        <v>1916</v>
      </c>
      <c r="M221" s="33" t="s">
        <v>1917</v>
      </c>
    </row>
    <row r="222" spans="12:13" x14ac:dyDescent="0.45">
      <c r="L222" s="33" t="s">
        <v>1918</v>
      </c>
      <c r="M222" s="33" t="s">
        <v>1919</v>
      </c>
    </row>
    <row r="223" spans="12:13" x14ac:dyDescent="0.45">
      <c r="L223" s="33" t="s">
        <v>1920</v>
      </c>
      <c r="M223" s="33" t="s">
        <v>1921</v>
      </c>
    </row>
    <row r="224" spans="12:13" x14ac:dyDescent="0.45">
      <c r="L224" s="33" t="s">
        <v>1922</v>
      </c>
      <c r="M224" s="33" t="s">
        <v>1923</v>
      </c>
    </row>
    <row r="225" spans="12:13" x14ac:dyDescent="0.45">
      <c r="L225" s="33" t="s">
        <v>1924</v>
      </c>
      <c r="M225" s="33" t="s">
        <v>1925</v>
      </c>
    </row>
    <row r="226" spans="12:13" x14ac:dyDescent="0.45">
      <c r="L226" s="33" t="s">
        <v>1926</v>
      </c>
      <c r="M226" s="33" t="s">
        <v>1927</v>
      </c>
    </row>
    <row r="227" spans="12:13" x14ac:dyDescent="0.45">
      <c r="L227" s="33" t="s">
        <v>1928</v>
      </c>
      <c r="M227" s="33" t="s">
        <v>1929</v>
      </c>
    </row>
    <row r="228" spans="12:13" x14ac:dyDescent="0.45">
      <c r="L228" s="33" t="s">
        <v>1930</v>
      </c>
      <c r="M228" s="33" t="s">
        <v>1931</v>
      </c>
    </row>
    <row r="229" spans="12:13" x14ac:dyDescent="0.45">
      <c r="L229" s="33" t="s">
        <v>1024</v>
      </c>
      <c r="M229" s="33" t="s">
        <v>1932</v>
      </c>
    </row>
    <row r="230" spans="12:13" x14ac:dyDescent="0.45">
      <c r="L230" s="33" t="s">
        <v>1933</v>
      </c>
      <c r="M230" s="33" t="s">
        <v>1934</v>
      </c>
    </row>
    <row r="231" spans="12:13" x14ac:dyDescent="0.45">
      <c r="L231" s="33" t="s">
        <v>1935</v>
      </c>
      <c r="M231" s="33" t="s">
        <v>1936</v>
      </c>
    </row>
    <row r="232" spans="12:13" x14ac:dyDescent="0.45">
      <c r="L232" s="33" t="s">
        <v>1937</v>
      </c>
      <c r="M232" s="33" t="s">
        <v>1938</v>
      </c>
    </row>
    <row r="233" spans="12:13" x14ac:dyDescent="0.45">
      <c r="L233" s="33" t="s">
        <v>853</v>
      </c>
      <c r="M233" s="33" t="s">
        <v>1939</v>
      </c>
    </row>
    <row r="234" spans="12:13" x14ac:dyDescent="0.45">
      <c r="L234" s="33"/>
      <c r="M234"/>
    </row>
    <row r="235" spans="12:13" x14ac:dyDescent="0.45">
      <c r="L235" s="33" t="s">
        <v>2006</v>
      </c>
      <c r="M235" s="33" t="s">
        <v>2010</v>
      </c>
    </row>
    <row r="236" spans="12:13" x14ac:dyDescent="0.45">
      <c r="L236" s="33" t="s">
        <v>2007</v>
      </c>
      <c r="M236" s="33" t="s">
        <v>2011</v>
      </c>
    </row>
    <row r="237" spans="12:13" x14ac:dyDescent="0.45">
      <c r="L237" s="33" t="s">
        <v>2008</v>
      </c>
      <c r="M237" s="33" t="s">
        <v>2009</v>
      </c>
    </row>
    <row r="238" spans="12:13" x14ac:dyDescent="0.45">
      <c r="L238" s="33"/>
      <c r="M238"/>
    </row>
    <row r="239" spans="12:13" x14ac:dyDescent="0.45">
      <c r="L239" s="33" t="s">
        <v>1940</v>
      </c>
      <c r="M239"/>
    </row>
    <row r="240" spans="12:13" x14ac:dyDescent="0.45">
      <c r="L240" s="33" t="s">
        <v>1941</v>
      </c>
      <c r="M240" s="33" t="s">
        <v>779</v>
      </c>
    </row>
    <row r="241" spans="12:13" x14ac:dyDescent="0.45">
      <c r="L241" s="33" t="s">
        <v>1942</v>
      </c>
      <c r="M241" s="33" t="s">
        <v>1943</v>
      </c>
    </row>
    <row r="242" spans="12:13" x14ac:dyDescent="0.45">
      <c r="L242" s="33" t="s">
        <v>1944</v>
      </c>
      <c r="M242" s="33" t="s">
        <v>1945</v>
      </c>
    </row>
    <row r="243" spans="12:13" x14ac:dyDescent="0.45">
      <c r="L243" s="33" t="s">
        <v>1946</v>
      </c>
      <c r="M243" s="33" t="s">
        <v>1947</v>
      </c>
    </row>
    <row r="244" spans="12:13" x14ac:dyDescent="0.45">
      <c r="L244" s="33" t="s">
        <v>1948</v>
      </c>
      <c r="M244" s="33" t="s">
        <v>1949</v>
      </c>
    </row>
    <row r="245" spans="12:13" x14ac:dyDescent="0.45">
      <c r="L245" s="33" t="s">
        <v>1950</v>
      </c>
      <c r="M245" s="33" t="s">
        <v>1951</v>
      </c>
    </row>
    <row r="246" spans="12:13" x14ac:dyDescent="0.45">
      <c r="L246" s="33" t="s">
        <v>1952</v>
      </c>
      <c r="M246" s="33" t="s">
        <v>1953</v>
      </c>
    </row>
    <row r="247" spans="12:13" x14ac:dyDescent="0.45">
      <c r="L247" s="33" t="s">
        <v>1954</v>
      </c>
      <c r="M247" s="33" t="s">
        <v>1955</v>
      </c>
    </row>
    <row r="248" spans="12:13" x14ac:dyDescent="0.45">
      <c r="L248" s="33" t="s">
        <v>1956</v>
      </c>
      <c r="M248" s="33" t="s">
        <v>1957</v>
      </c>
    </row>
    <row r="249" spans="12:13" x14ac:dyDescent="0.45">
      <c r="L249" s="33" t="s">
        <v>1958</v>
      </c>
      <c r="M249" s="33" t="s">
        <v>1959</v>
      </c>
    </row>
    <row r="250" spans="12:13" x14ac:dyDescent="0.45">
      <c r="L250" s="33" t="s">
        <v>1960</v>
      </c>
      <c r="M250" s="33" t="s">
        <v>1961</v>
      </c>
    </row>
    <row r="251" spans="12:13" x14ac:dyDescent="0.45">
      <c r="L251" s="33" t="s">
        <v>1962</v>
      </c>
      <c r="M251" s="33" t="s">
        <v>1963</v>
      </c>
    </row>
    <row r="252" spans="12:13" x14ac:dyDescent="0.45">
      <c r="L252" s="33" t="s">
        <v>1964</v>
      </c>
      <c r="M252" s="33" t="s">
        <v>1965</v>
      </c>
    </row>
    <row r="253" spans="12:13" x14ac:dyDescent="0.45">
      <c r="L253" s="33" t="s">
        <v>1966</v>
      </c>
      <c r="M253" s="33" t="s">
        <v>1967</v>
      </c>
    </row>
    <row r="254" spans="12:13" x14ac:dyDescent="0.45">
      <c r="L254" s="33" t="s">
        <v>1968</v>
      </c>
      <c r="M254" s="33" t="s">
        <v>1969</v>
      </c>
    </row>
    <row r="255" spans="12:13" x14ac:dyDescent="0.45">
      <c r="L255" s="33" t="s">
        <v>1970</v>
      </c>
      <c r="M255" s="33" t="s">
        <v>1971</v>
      </c>
    </row>
    <row r="256" spans="12:13" x14ac:dyDescent="0.45">
      <c r="L256" s="33" t="s">
        <v>1972</v>
      </c>
      <c r="M256" s="33" t="s">
        <v>1973</v>
      </c>
    </row>
    <row r="257" spans="12:13" x14ac:dyDescent="0.45">
      <c r="L257" s="33" t="s">
        <v>1974</v>
      </c>
      <c r="M257" s="33" t="s">
        <v>1975</v>
      </c>
    </row>
    <row r="258" spans="12:13" x14ac:dyDescent="0.45">
      <c r="L258" s="33" t="s">
        <v>1976</v>
      </c>
      <c r="M258" s="33" t="s">
        <v>1977</v>
      </c>
    </row>
    <row r="259" spans="12:13" x14ac:dyDescent="0.45">
      <c r="L259" s="33" t="s">
        <v>1978</v>
      </c>
      <c r="M259" s="33" t="s">
        <v>1979</v>
      </c>
    </row>
    <row r="260" spans="12:13" x14ac:dyDescent="0.45">
      <c r="L260" s="33" t="s">
        <v>1980</v>
      </c>
      <c r="M260" s="33" t="s">
        <v>1981</v>
      </c>
    </row>
    <row r="261" spans="12:13" x14ac:dyDescent="0.45">
      <c r="L261" s="33" t="s">
        <v>1982</v>
      </c>
      <c r="M261" s="33" t="s">
        <v>1983</v>
      </c>
    </row>
    <row r="262" spans="12:13" x14ac:dyDescent="0.45">
      <c r="L262" s="33" t="s">
        <v>1984</v>
      </c>
      <c r="M262" s="33" t="s">
        <v>1985</v>
      </c>
    </row>
    <row r="263" spans="12:13" x14ac:dyDescent="0.45">
      <c r="L263" s="33" t="s">
        <v>1986</v>
      </c>
      <c r="M263" s="33" t="s">
        <v>1987</v>
      </c>
    </row>
    <row r="264" spans="12:13" x14ac:dyDescent="0.45">
      <c r="L264" s="33" t="s">
        <v>1988</v>
      </c>
      <c r="M264" s="33" t="s">
        <v>1989</v>
      </c>
    </row>
    <row r="265" spans="12:13" x14ac:dyDescent="0.45">
      <c r="L265" s="33" t="s">
        <v>1990</v>
      </c>
      <c r="M265" s="33" t="s">
        <v>1991</v>
      </c>
    </row>
    <row r="266" spans="12:13" x14ac:dyDescent="0.45">
      <c r="L266" s="33" t="s">
        <v>1992</v>
      </c>
      <c r="M266" s="33" t="s">
        <v>1993</v>
      </c>
    </row>
    <row r="267" spans="12:13" x14ac:dyDescent="0.45">
      <c r="L267" s="33" t="s">
        <v>1994</v>
      </c>
      <c r="M267" s="33" t="s">
        <v>1995</v>
      </c>
    </row>
    <row r="268" spans="12:13" x14ac:dyDescent="0.45">
      <c r="L268" s="33" t="s">
        <v>1996</v>
      </c>
      <c r="M268" s="33" t="s">
        <v>1997</v>
      </c>
    </row>
    <row r="269" spans="12:13" x14ac:dyDescent="0.45">
      <c r="L269" s="33" t="s">
        <v>1998</v>
      </c>
      <c r="M269" s="33" t="s">
        <v>1999</v>
      </c>
    </row>
    <row r="270" spans="12:13" x14ac:dyDescent="0.45">
      <c r="L270" s="33" t="s">
        <v>2000</v>
      </c>
      <c r="M270" s="33" t="s">
        <v>2001</v>
      </c>
    </row>
    <row r="271" spans="12:13" x14ac:dyDescent="0.45">
      <c r="L271" s="33" t="s">
        <v>2002</v>
      </c>
      <c r="M271" s="33" t="s">
        <v>2003</v>
      </c>
    </row>
    <row r="272" spans="12:13" x14ac:dyDescent="0.45">
      <c r="L272" s="34" t="s">
        <v>2004</v>
      </c>
      <c r="M272" s="34" t="s">
        <v>2005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BEB8-C1B3-49FC-AA5D-37479778274C}">
  <dimension ref="A1:I349"/>
  <sheetViews>
    <sheetView defaultGridColor="0" colorId="31" workbookViewId="0">
      <selection activeCell="C150" sqref="C150"/>
    </sheetView>
  </sheetViews>
  <sheetFormatPr defaultRowHeight="18" x14ac:dyDescent="0.45"/>
  <cols>
    <col min="1" max="1" width="20" style="25" customWidth="1"/>
    <col min="2" max="2" width="14.4609375" style="25" customWidth="1"/>
    <col min="3" max="3" width="82.3046875" style="25" customWidth="1"/>
    <col min="4" max="4" width="11.84375" style="25" customWidth="1"/>
    <col min="5" max="16384" width="9.23046875" style="25"/>
  </cols>
  <sheetData>
    <row r="1" spans="1:9" x14ac:dyDescent="0.45">
      <c r="A1" s="25" t="s">
        <v>824</v>
      </c>
      <c r="B1" s="25" t="s">
        <v>844</v>
      </c>
      <c r="C1" s="25" t="s">
        <v>105</v>
      </c>
      <c r="D1" s="25" t="s">
        <v>832</v>
      </c>
      <c r="E1" s="25" t="s">
        <v>833</v>
      </c>
      <c r="F1" s="25" t="s">
        <v>834</v>
      </c>
      <c r="G1" s="25" t="s">
        <v>835</v>
      </c>
      <c r="H1" s="25" t="s">
        <v>836</v>
      </c>
      <c r="I1" s="25" t="s">
        <v>837</v>
      </c>
    </row>
    <row r="2" spans="1:9" x14ac:dyDescent="0.45">
      <c r="A2" s="25" t="s">
        <v>825</v>
      </c>
      <c r="B2" s="25" t="s">
        <v>826</v>
      </c>
      <c r="C2" s="25" t="s">
        <v>838</v>
      </c>
      <c r="D2" s="25" t="s">
        <v>847</v>
      </c>
    </row>
    <row r="3" spans="1:9" x14ac:dyDescent="0.45">
      <c r="A3" s="25" t="s">
        <v>827</v>
      </c>
      <c r="C3" s="25" t="s">
        <v>828</v>
      </c>
      <c r="D3" s="25" t="s">
        <v>847</v>
      </c>
    </row>
    <row r="4" spans="1:9" x14ac:dyDescent="0.45">
      <c r="A4" s="25" t="s">
        <v>829</v>
      </c>
      <c r="C4" s="25" t="s">
        <v>830</v>
      </c>
      <c r="D4" s="25" t="s">
        <v>847</v>
      </c>
    </row>
    <row r="5" spans="1:9" x14ac:dyDescent="0.45">
      <c r="A5" s="25" t="s">
        <v>839</v>
      </c>
      <c r="C5" s="25" t="s">
        <v>831</v>
      </c>
      <c r="D5" s="25" t="s">
        <v>848</v>
      </c>
    </row>
    <row r="6" spans="1:9" x14ac:dyDescent="0.45">
      <c r="A6" s="25" t="s">
        <v>840</v>
      </c>
      <c r="C6" s="25" t="s">
        <v>841</v>
      </c>
      <c r="D6" s="25" t="s">
        <v>847</v>
      </c>
    </row>
    <row r="12" spans="1:9" x14ac:dyDescent="0.45">
      <c r="A12" s="25" t="s">
        <v>842</v>
      </c>
      <c r="B12" s="25" t="s">
        <v>719</v>
      </c>
      <c r="C12" s="25" t="s">
        <v>843</v>
      </c>
      <c r="D12" s="25" t="s">
        <v>847</v>
      </c>
    </row>
    <row r="14" spans="1:9" x14ac:dyDescent="0.45">
      <c r="A14" s="25" t="s">
        <v>845</v>
      </c>
      <c r="C14" s="25" t="s">
        <v>846</v>
      </c>
    </row>
    <row r="15" spans="1:9" x14ac:dyDescent="0.45">
      <c r="A15" s="25" t="s">
        <v>849</v>
      </c>
      <c r="B15" s="25" t="s">
        <v>853</v>
      </c>
      <c r="C15" s="25" t="s">
        <v>850</v>
      </c>
      <c r="D15" s="25" t="s">
        <v>852</v>
      </c>
      <c r="E15" s="25" t="s">
        <v>851</v>
      </c>
    </row>
    <row r="16" spans="1:9" x14ac:dyDescent="0.45">
      <c r="A16" s="25" t="s">
        <v>854</v>
      </c>
      <c r="B16" s="25" t="s">
        <v>856</v>
      </c>
      <c r="C16" s="25" t="s">
        <v>855</v>
      </c>
    </row>
    <row r="17" spans="1:7" x14ac:dyDescent="0.45">
      <c r="A17" s="25" t="s">
        <v>857</v>
      </c>
      <c r="B17" s="25" t="s">
        <v>858</v>
      </c>
      <c r="C17" s="25" t="s">
        <v>859</v>
      </c>
    </row>
    <row r="18" spans="1:7" x14ac:dyDescent="0.45">
      <c r="A18" s="25" t="s">
        <v>860</v>
      </c>
      <c r="B18" s="25" t="s">
        <v>861</v>
      </c>
      <c r="C18" s="25" t="s">
        <v>862</v>
      </c>
    </row>
    <row r="19" spans="1:7" x14ac:dyDescent="0.45">
      <c r="A19" s="25" t="s">
        <v>863</v>
      </c>
      <c r="B19" s="25" t="s">
        <v>865</v>
      </c>
      <c r="C19" s="25" t="s">
        <v>864</v>
      </c>
    </row>
    <row r="20" spans="1:7" x14ac:dyDescent="0.45">
      <c r="A20" s="25" t="s">
        <v>869</v>
      </c>
      <c r="B20" s="25" t="s">
        <v>871</v>
      </c>
      <c r="C20" s="25" t="s">
        <v>870</v>
      </c>
    </row>
    <row r="21" spans="1:7" x14ac:dyDescent="0.45">
      <c r="A21" s="25" t="s">
        <v>873</v>
      </c>
      <c r="B21" s="25" t="s">
        <v>872</v>
      </c>
      <c r="C21" s="25" t="s">
        <v>874</v>
      </c>
    </row>
    <row r="22" spans="1:7" x14ac:dyDescent="0.45">
      <c r="A22" s="25" t="s">
        <v>875</v>
      </c>
      <c r="B22" s="25" t="s">
        <v>876</v>
      </c>
      <c r="C22" s="25" t="s">
        <v>877</v>
      </c>
    </row>
    <row r="23" spans="1:7" x14ac:dyDescent="0.45">
      <c r="A23" s="25" t="s">
        <v>866</v>
      </c>
      <c r="B23" s="25" t="s">
        <v>868</v>
      </c>
      <c r="C23" s="25" t="s">
        <v>867</v>
      </c>
    </row>
    <row r="25" spans="1:7" x14ac:dyDescent="0.45">
      <c r="A25" s="25" t="s">
        <v>878</v>
      </c>
      <c r="B25" s="25" t="s">
        <v>879</v>
      </c>
      <c r="C25" s="25" t="s">
        <v>880</v>
      </c>
    </row>
    <row r="26" spans="1:7" x14ac:dyDescent="0.45">
      <c r="A26" s="25" t="s">
        <v>881</v>
      </c>
      <c r="B26" s="25" t="s">
        <v>883</v>
      </c>
      <c r="C26" s="25" t="s">
        <v>882</v>
      </c>
    </row>
    <row r="27" spans="1:7" x14ac:dyDescent="0.45">
      <c r="A27" s="25" t="s">
        <v>884</v>
      </c>
      <c r="B27" s="25" t="s">
        <v>750</v>
      </c>
      <c r="C27" s="25" t="s">
        <v>885</v>
      </c>
      <c r="D27" s="25" t="s">
        <v>886</v>
      </c>
      <c r="E27" s="25" t="s">
        <v>887</v>
      </c>
    </row>
    <row r="28" spans="1:7" x14ac:dyDescent="0.45">
      <c r="A28" s="25" t="s">
        <v>888</v>
      </c>
      <c r="B28" s="25" t="s">
        <v>890</v>
      </c>
      <c r="C28" s="25" t="s">
        <v>889</v>
      </c>
    </row>
    <row r="29" spans="1:7" x14ac:dyDescent="0.45">
      <c r="A29" s="25" t="s">
        <v>892</v>
      </c>
      <c r="B29" s="25" t="s">
        <v>893</v>
      </c>
      <c r="C29" s="25" t="s">
        <v>891</v>
      </c>
      <c r="D29" s="25" t="s">
        <v>894</v>
      </c>
    </row>
    <row r="30" spans="1:7" x14ac:dyDescent="0.45">
      <c r="A30" s="25" t="s">
        <v>896</v>
      </c>
      <c r="B30" s="25" t="s">
        <v>694</v>
      </c>
      <c r="C30" s="25" t="s">
        <v>895</v>
      </c>
    </row>
    <row r="31" spans="1:7" x14ac:dyDescent="0.45">
      <c r="A31" s="25" t="s">
        <v>897</v>
      </c>
      <c r="B31" s="25" t="s">
        <v>899</v>
      </c>
      <c r="C31" s="25" t="s">
        <v>898</v>
      </c>
      <c r="G31" s="25" t="s">
        <v>900</v>
      </c>
    </row>
    <row r="32" spans="1:7" x14ac:dyDescent="0.45">
      <c r="A32" s="25" t="s">
        <v>901</v>
      </c>
      <c r="B32" s="25" t="s">
        <v>710</v>
      </c>
      <c r="C32" s="25" t="s">
        <v>902</v>
      </c>
    </row>
    <row r="33" spans="1:3" x14ac:dyDescent="0.45">
      <c r="A33" s="25" t="s">
        <v>904</v>
      </c>
      <c r="B33" s="25" t="s">
        <v>906</v>
      </c>
      <c r="C33" s="25" t="s">
        <v>905</v>
      </c>
    </row>
    <row r="35" spans="1:3" x14ac:dyDescent="0.45">
      <c r="A35" s="25" t="s">
        <v>907</v>
      </c>
      <c r="B35" s="25" t="s">
        <v>871</v>
      </c>
      <c r="C35" s="25" t="s">
        <v>908</v>
      </c>
    </row>
    <row r="36" spans="1:3" x14ac:dyDescent="0.45">
      <c r="A36" s="25" t="s">
        <v>909</v>
      </c>
      <c r="B36" s="25" t="s">
        <v>703</v>
      </c>
      <c r="C36" s="25" t="s">
        <v>910</v>
      </c>
    </row>
    <row r="38" spans="1:3" x14ac:dyDescent="0.45">
      <c r="A38" s="25" t="s">
        <v>911</v>
      </c>
      <c r="B38" s="25" t="s">
        <v>746</v>
      </c>
      <c r="C38" s="25" t="s">
        <v>912</v>
      </c>
    </row>
    <row r="39" spans="1:3" x14ac:dyDescent="0.45">
      <c r="A39" s="25" t="s">
        <v>913</v>
      </c>
      <c r="B39" s="25" t="s">
        <v>746</v>
      </c>
      <c r="C39" s="25" t="s">
        <v>914</v>
      </c>
    </row>
    <row r="40" spans="1:3" x14ac:dyDescent="0.45">
      <c r="A40" s="25" t="s">
        <v>915</v>
      </c>
      <c r="B40" s="25" t="s">
        <v>746</v>
      </c>
      <c r="C40" s="25" t="s">
        <v>916</v>
      </c>
    </row>
    <row r="41" spans="1:3" x14ac:dyDescent="0.45">
      <c r="A41" s="25" t="s">
        <v>917</v>
      </c>
      <c r="B41" s="25" t="s">
        <v>871</v>
      </c>
      <c r="C41" s="25" t="s">
        <v>918</v>
      </c>
    </row>
    <row r="42" spans="1:3" x14ac:dyDescent="0.45">
      <c r="A42" s="25" t="s">
        <v>919</v>
      </c>
      <c r="B42" s="25" t="s">
        <v>890</v>
      </c>
      <c r="C42" s="25" t="s">
        <v>920</v>
      </c>
    </row>
    <row r="43" spans="1:3" x14ac:dyDescent="0.45">
      <c r="A43" s="25" t="s">
        <v>921</v>
      </c>
      <c r="B43" s="25" t="s">
        <v>923</v>
      </c>
      <c r="C43" s="25" t="s">
        <v>922</v>
      </c>
    </row>
    <row r="44" spans="1:3" x14ac:dyDescent="0.45">
      <c r="A44" s="25" t="s">
        <v>924</v>
      </c>
      <c r="B44" s="25" t="s">
        <v>734</v>
      </c>
      <c r="C44" s="25" t="s">
        <v>925</v>
      </c>
    </row>
    <row r="45" spans="1:3" x14ac:dyDescent="0.45">
      <c r="A45" s="25" t="s">
        <v>926</v>
      </c>
      <c r="B45" s="25" t="s">
        <v>734</v>
      </c>
      <c r="C45" s="25" t="s">
        <v>927</v>
      </c>
    </row>
    <row r="46" spans="1:3" x14ac:dyDescent="0.45">
      <c r="A46" s="25" t="s">
        <v>928</v>
      </c>
      <c r="B46" s="25" t="s">
        <v>734</v>
      </c>
      <c r="C46" s="25" t="s">
        <v>929</v>
      </c>
    </row>
    <row r="47" spans="1:3" x14ac:dyDescent="0.45">
      <c r="A47" s="25" t="s">
        <v>930</v>
      </c>
      <c r="B47" s="25" t="s">
        <v>931</v>
      </c>
      <c r="C47" s="25" t="s">
        <v>918</v>
      </c>
    </row>
    <row r="52" spans="1:3" x14ac:dyDescent="0.45">
      <c r="A52" s="25" t="s">
        <v>932</v>
      </c>
      <c r="B52" s="25" t="s">
        <v>727</v>
      </c>
      <c r="C52" s="25" t="s">
        <v>933</v>
      </c>
    </row>
    <row r="53" spans="1:3" x14ac:dyDescent="0.45">
      <c r="A53" s="25" t="s">
        <v>934</v>
      </c>
      <c r="B53" s="25" t="s">
        <v>936</v>
      </c>
      <c r="C53" s="25" t="s">
        <v>935</v>
      </c>
    </row>
    <row r="56" spans="1:3" x14ac:dyDescent="0.45">
      <c r="A56" s="25" t="s">
        <v>937</v>
      </c>
      <c r="B56" s="25" t="s">
        <v>861</v>
      </c>
      <c r="C56" s="25" t="s">
        <v>938</v>
      </c>
    </row>
    <row r="57" spans="1:3" x14ac:dyDescent="0.45">
      <c r="A57" s="25" t="s">
        <v>939</v>
      </c>
      <c r="B57" s="25" t="s">
        <v>730</v>
      </c>
      <c r="C57" s="25" t="s">
        <v>940</v>
      </c>
    </row>
    <row r="58" spans="1:3" x14ac:dyDescent="0.45">
      <c r="A58" s="25" t="s">
        <v>943</v>
      </c>
      <c r="B58" s="25" t="s">
        <v>941</v>
      </c>
      <c r="C58" s="25" t="s">
        <v>942</v>
      </c>
    </row>
    <row r="59" spans="1:3" x14ac:dyDescent="0.45">
      <c r="A59" s="25" t="s">
        <v>944</v>
      </c>
      <c r="B59" s="25" t="s">
        <v>714</v>
      </c>
      <c r="C59" s="25" t="s">
        <v>945</v>
      </c>
    </row>
    <row r="60" spans="1:3" x14ac:dyDescent="0.45">
      <c r="A60" s="25" t="s">
        <v>946</v>
      </c>
      <c r="B60" s="25" t="s">
        <v>861</v>
      </c>
      <c r="C60" s="25" t="s">
        <v>947</v>
      </c>
    </row>
    <row r="61" spans="1:3" x14ac:dyDescent="0.45">
      <c r="A61" s="25" t="s">
        <v>948</v>
      </c>
      <c r="B61" s="25" t="s">
        <v>734</v>
      </c>
      <c r="C61" s="25" t="s">
        <v>949</v>
      </c>
    </row>
    <row r="62" spans="1:3" x14ac:dyDescent="0.45">
      <c r="A62" s="25" t="s">
        <v>951</v>
      </c>
      <c r="B62" s="25" t="s">
        <v>694</v>
      </c>
      <c r="C62" s="25" t="s">
        <v>950</v>
      </c>
    </row>
    <row r="63" spans="1:3" x14ac:dyDescent="0.45">
      <c r="A63" s="25" t="s">
        <v>953</v>
      </c>
      <c r="B63" s="25" t="s">
        <v>952</v>
      </c>
      <c r="C63" s="25" t="s">
        <v>954</v>
      </c>
    </row>
    <row r="64" spans="1:3" x14ac:dyDescent="0.45">
      <c r="A64" s="25" t="s">
        <v>955</v>
      </c>
      <c r="B64" s="25" t="s">
        <v>865</v>
      </c>
      <c r="C64" s="25" t="s">
        <v>956</v>
      </c>
    </row>
    <row r="65" spans="1:6" x14ac:dyDescent="0.45">
      <c r="A65" s="25" t="s">
        <v>957</v>
      </c>
      <c r="B65" s="25" t="s">
        <v>872</v>
      </c>
      <c r="C65" s="25" t="s">
        <v>958</v>
      </c>
      <c r="D65" s="25" t="s">
        <v>959</v>
      </c>
    </row>
    <row r="66" spans="1:6" x14ac:dyDescent="0.45">
      <c r="A66" s="25" t="s">
        <v>960</v>
      </c>
      <c r="B66" s="25" t="s">
        <v>962</v>
      </c>
      <c r="C66" s="25" t="s">
        <v>961</v>
      </c>
    </row>
    <row r="67" spans="1:6" x14ac:dyDescent="0.45">
      <c r="A67" s="25" t="s">
        <v>963</v>
      </c>
      <c r="B67" s="25" t="s">
        <v>965</v>
      </c>
      <c r="C67" s="25" t="s">
        <v>964</v>
      </c>
    </row>
    <row r="68" spans="1:6" x14ac:dyDescent="0.45">
      <c r="A68" s="25" t="s">
        <v>966</v>
      </c>
      <c r="B68" s="25" t="s">
        <v>967</v>
      </c>
      <c r="C68" s="25" t="s">
        <v>968</v>
      </c>
    </row>
    <row r="69" spans="1:6" x14ac:dyDescent="0.45">
      <c r="A69" s="25" t="s">
        <v>969</v>
      </c>
      <c r="B69" s="25" t="s">
        <v>971</v>
      </c>
      <c r="C69" s="25" t="s">
        <v>970</v>
      </c>
    </row>
    <row r="70" spans="1:6" x14ac:dyDescent="0.45">
      <c r="A70" s="25" t="s">
        <v>972</v>
      </c>
      <c r="B70" s="25" t="s">
        <v>727</v>
      </c>
      <c r="C70" s="25" t="s">
        <v>973</v>
      </c>
      <c r="F70" s="25" t="s">
        <v>974</v>
      </c>
    </row>
    <row r="71" spans="1:6" x14ac:dyDescent="0.45">
      <c r="A71" s="25" t="s">
        <v>976</v>
      </c>
      <c r="B71" s="25" t="s">
        <v>746</v>
      </c>
      <c r="C71" s="25" t="s">
        <v>975</v>
      </c>
    </row>
    <row r="72" spans="1:6" x14ac:dyDescent="0.45">
      <c r="A72" s="25" t="s">
        <v>977</v>
      </c>
      <c r="B72" s="25" t="s">
        <v>746</v>
      </c>
      <c r="C72" s="25" t="s">
        <v>978</v>
      </c>
    </row>
    <row r="73" spans="1:6" x14ac:dyDescent="0.45">
      <c r="A73" s="25" t="s">
        <v>979</v>
      </c>
      <c r="B73" s="25" t="s">
        <v>980</v>
      </c>
      <c r="C73" s="25" t="s">
        <v>981</v>
      </c>
    </row>
    <row r="74" spans="1:6" x14ac:dyDescent="0.45">
      <c r="A74" s="25" t="s">
        <v>984</v>
      </c>
      <c r="B74" s="25" t="s">
        <v>982</v>
      </c>
      <c r="C74" s="25" t="s">
        <v>983</v>
      </c>
    </row>
    <row r="75" spans="1:6" x14ac:dyDescent="0.45">
      <c r="A75" s="25" t="s">
        <v>985</v>
      </c>
      <c r="B75" s="25" t="s">
        <v>986</v>
      </c>
      <c r="C75" s="25" t="s">
        <v>987</v>
      </c>
      <c r="D75" s="25" t="s">
        <v>894</v>
      </c>
    </row>
    <row r="76" spans="1:6" x14ac:dyDescent="0.45">
      <c r="A76" s="25" t="s">
        <v>988</v>
      </c>
      <c r="B76" s="25" t="s">
        <v>890</v>
      </c>
      <c r="C76" s="25" t="s">
        <v>989</v>
      </c>
    </row>
    <row r="77" spans="1:6" x14ac:dyDescent="0.45">
      <c r="A77" s="25" t="s">
        <v>990</v>
      </c>
      <c r="B77" s="25" t="s">
        <v>992</v>
      </c>
      <c r="C77" s="25" t="s">
        <v>991</v>
      </c>
    </row>
    <row r="78" spans="1:6" x14ac:dyDescent="0.45">
      <c r="A78" s="25" t="s">
        <v>993</v>
      </c>
      <c r="B78" s="25" t="s">
        <v>720</v>
      </c>
      <c r="C78" s="25" t="s">
        <v>994</v>
      </c>
      <c r="D78" s="25" t="s">
        <v>886</v>
      </c>
      <c r="E78" s="25" t="s">
        <v>887</v>
      </c>
    </row>
    <row r="79" spans="1:6" x14ac:dyDescent="0.45">
      <c r="A79" s="25" t="s">
        <v>995</v>
      </c>
      <c r="B79" s="25" t="s">
        <v>710</v>
      </c>
      <c r="C79" s="25" t="s">
        <v>996</v>
      </c>
    </row>
    <row r="80" spans="1:6" x14ac:dyDescent="0.45">
      <c r="A80" s="25" t="s">
        <v>997</v>
      </c>
      <c r="B80" s="25" t="s">
        <v>941</v>
      </c>
      <c r="C80" s="25" t="s">
        <v>998</v>
      </c>
      <c r="D80" s="25" t="s">
        <v>886</v>
      </c>
      <c r="E80" s="25" t="s">
        <v>887</v>
      </c>
    </row>
    <row r="81" spans="1:3" x14ac:dyDescent="0.45">
      <c r="A81" s="25" t="s">
        <v>999</v>
      </c>
      <c r="B81" s="25" t="s">
        <v>738</v>
      </c>
      <c r="C81" s="25" t="s">
        <v>1000</v>
      </c>
    </row>
    <row r="82" spans="1:3" x14ac:dyDescent="0.45">
      <c r="A82" s="25" t="s">
        <v>1001</v>
      </c>
      <c r="B82" s="25" t="s">
        <v>1003</v>
      </c>
      <c r="C82" s="25" t="s">
        <v>1002</v>
      </c>
    </row>
    <row r="83" spans="1:3" x14ac:dyDescent="0.45">
      <c r="A83" s="25" t="s">
        <v>1005</v>
      </c>
      <c r="B83" s="25" t="s">
        <v>1004</v>
      </c>
      <c r="C83" s="25" t="s">
        <v>1002</v>
      </c>
    </row>
    <row r="84" spans="1:3" x14ac:dyDescent="0.45">
      <c r="A84" s="25" t="s">
        <v>1006</v>
      </c>
      <c r="B84" s="25" t="s">
        <v>826</v>
      </c>
      <c r="C84" s="25" t="s">
        <v>1007</v>
      </c>
    </row>
    <row r="85" spans="1:3" x14ac:dyDescent="0.45">
      <c r="A85" s="25" t="s">
        <v>1008</v>
      </c>
      <c r="B85" s="25" t="s">
        <v>1009</v>
      </c>
      <c r="C85" s="25" t="s">
        <v>1010</v>
      </c>
    </row>
    <row r="86" spans="1:3" x14ac:dyDescent="0.45">
      <c r="A86" s="25" t="s">
        <v>1012</v>
      </c>
      <c r="B86" s="25" t="s">
        <v>1011</v>
      </c>
      <c r="C86" s="25" t="s">
        <v>1013</v>
      </c>
    </row>
    <row r="87" spans="1:3" x14ac:dyDescent="0.45">
      <c r="A87" s="25" t="s">
        <v>1014</v>
      </c>
      <c r="B87" s="25" t="s">
        <v>1015</v>
      </c>
      <c r="C87" s="25" t="s">
        <v>1016</v>
      </c>
    </row>
    <row r="88" spans="1:3" x14ac:dyDescent="0.45">
      <c r="A88" s="25" t="s">
        <v>1018</v>
      </c>
      <c r="B88" s="25" t="s">
        <v>1017</v>
      </c>
      <c r="C88" s="25" t="s">
        <v>1019</v>
      </c>
    </row>
    <row r="89" spans="1:3" x14ac:dyDescent="0.45">
      <c r="A89" s="25" t="s">
        <v>1020</v>
      </c>
      <c r="B89" s="25" t="s">
        <v>1022</v>
      </c>
      <c r="C89" s="25" t="s">
        <v>1021</v>
      </c>
    </row>
    <row r="90" spans="1:3" x14ac:dyDescent="0.45">
      <c r="A90" s="25" t="s">
        <v>1023</v>
      </c>
      <c r="B90" s="25" t="s">
        <v>1024</v>
      </c>
      <c r="C90" s="25" t="s">
        <v>1025</v>
      </c>
    </row>
    <row r="91" spans="1:3" x14ac:dyDescent="0.45">
      <c r="A91" s="25" t="s">
        <v>1026</v>
      </c>
      <c r="B91" s="25" t="s">
        <v>708</v>
      </c>
      <c r="C91" s="25" t="s">
        <v>1027</v>
      </c>
    </row>
    <row r="92" spans="1:3" x14ac:dyDescent="0.45">
      <c r="A92" s="25" t="s">
        <v>1028</v>
      </c>
      <c r="B92" s="25" t="s">
        <v>1030</v>
      </c>
      <c r="C92" s="25" t="s">
        <v>1029</v>
      </c>
    </row>
    <row r="93" spans="1:3" x14ac:dyDescent="0.45">
      <c r="A93" s="25" t="s">
        <v>1031</v>
      </c>
      <c r="B93" s="25" t="s">
        <v>1033</v>
      </c>
      <c r="C93" s="25" t="s">
        <v>1032</v>
      </c>
    </row>
    <row r="94" spans="1:3" x14ac:dyDescent="0.45">
      <c r="A94" s="25" t="s">
        <v>1034</v>
      </c>
      <c r="B94" s="25" t="s">
        <v>1035</v>
      </c>
      <c r="C94" s="25" t="s">
        <v>1036</v>
      </c>
    </row>
    <row r="95" spans="1:3" x14ac:dyDescent="0.45">
      <c r="A95" s="25" t="s">
        <v>1037</v>
      </c>
      <c r="B95" s="25" t="s">
        <v>1038</v>
      </c>
      <c r="C95" s="25" t="s">
        <v>1039</v>
      </c>
    </row>
    <row r="96" spans="1:3" x14ac:dyDescent="0.45">
      <c r="A96" s="25" t="s">
        <v>1040</v>
      </c>
      <c r="B96" s="25" t="s">
        <v>992</v>
      </c>
      <c r="C96" s="25" t="s">
        <v>1041</v>
      </c>
    </row>
    <row r="97" spans="1:3" x14ac:dyDescent="0.45">
      <c r="A97" s="25" t="s">
        <v>1043</v>
      </c>
      <c r="B97" s="25" t="s">
        <v>1042</v>
      </c>
      <c r="C97" s="25" t="s">
        <v>1044</v>
      </c>
    </row>
    <row r="98" spans="1:3" x14ac:dyDescent="0.45">
      <c r="A98" s="25" t="s">
        <v>1046</v>
      </c>
      <c r="B98" s="25" t="s">
        <v>1045</v>
      </c>
      <c r="C98" s="25" t="s">
        <v>1047</v>
      </c>
    </row>
    <row r="99" spans="1:3" x14ac:dyDescent="0.45">
      <c r="A99" s="25" t="s">
        <v>1048</v>
      </c>
      <c r="B99" s="25" t="s">
        <v>1033</v>
      </c>
      <c r="C99" s="25" t="s">
        <v>1049</v>
      </c>
    </row>
    <row r="100" spans="1:3" x14ac:dyDescent="0.45">
      <c r="A100" s="25" t="s">
        <v>1051</v>
      </c>
      <c r="B100" s="25" t="s">
        <v>1050</v>
      </c>
      <c r="C100" s="25" t="s">
        <v>1052</v>
      </c>
    </row>
    <row r="101" spans="1:3" x14ac:dyDescent="0.45">
      <c r="A101" s="25" t="s">
        <v>1053</v>
      </c>
      <c r="B101" s="25" t="s">
        <v>1055</v>
      </c>
      <c r="C101" s="25" t="s">
        <v>1054</v>
      </c>
    </row>
    <row r="102" spans="1:3" x14ac:dyDescent="0.45">
      <c r="A102" s="25" t="s">
        <v>1056</v>
      </c>
      <c r="B102" s="25" t="s">
        <v>872</v>
      </c>
      <c r="C102" s="25" t="s">
        <v>1057</v>
      </c>
    </row>
    <row r="103" spans="1:3" x14ac:dyDescent="0.45">
      <c r="A103" s="25" t="s">
        <v>1059</v>
      </c>
      <c r="B103" s="25" t="s">
        <v>1060</v>
      </c>
      <c r="C103" s="25" t="s">
        <v>1058</v>
      </c>
    </row>
    <row r="104" spans="1:3" x14ac:dyDescent="0.45">
      <c r="A104" s="25" t="s">
        <v>1061</v>
      </c>
      <c r="B104" s="25" t="s">
        <v>1063</v>
      </c>
      <c r="C104" s="25" t="s">
        <v>1062</v>
      </c>
    </row>
    <row r="105" spans="1:3" x14ac:dyDescent="0.45">
      <c r="A105" s="25" t="s">
        <v>1064</v>
      </c>
      <c r="B105" s="25" t="s">
        <v>936</v>
      </c>
      <c r="C105" s="25" t="s">
        <v>1065</v>
      </c>
    </row>
    <row r="106" spans="1:3" x14ac:dyDescent="0.45">
      <c r="A106" s="25" t="s">
        <v>1066</v>
      </c>
      <c r="B106" s="25" t="s">
        <v>1068</v>
      </c>
      <c r="C106" s="25" t="s">
        <v>1067</v>
      </c>
    </row>
    <row r="107" spans="1:3" x14ac:dyDescent="0.45">
      <c r="A107" s="25" t="s">
        <v>1069</v>
      </c>
      <c r="B107" s="25" t="s">
        <v>76</v>
      </c>
      <c r="C107" s="25" t="s">
        <v>1070</v>
      </c>
    </row>
    <row r="108" spans="1:3" x14ac:dyDescent="0.45">
      <c r="A108" s="25" t="s">
        <v>1071</v>
      </c>
      <c r="B108" s="25" t="s">
        <v>1072</v>
      </c>
      <c r="C108" s="25" t="s">
        <v>1073</v>
      </c>
    </row>
    <row r="109" spans="1:3" x14ac:dyDescent="0.45">
      <c r="A109" s="25" t="s">
        <v>1074</v>
      </c>
      <c r="B109" s="25" t="s">
        <v>1076</v>
      </c>
      <c r="C109" s="25" t="s">
        <v>1075</v>
      </c>
    </row>
    <row r="110" spans="1:3" x14ac:dyDescent="0.45">
      <c r="A110" s="25" t="s">
        <v>1077</v>
      </c>
      <c r="B110" s="25" t="s">
        <v>1079</v>
      </c>
      <c r="C110" s="25" t="s">
        <v>1078</v>
      </c>
    </row>
    <row r="113" spans="1:5" x14ac:dyDescent="0.45">
      <c r="A113" s="25" t="s">
        <v>1080</v>
      </c>
      <c r="B113" s="25" t="s">
        <v>1081</v>
      </c>
      <c r="C113" s="25" t="s">
        <v>1082</v>
      </c>
    </row>
    <row r="114" spans="1:5" x14ac:dyDescent="0.45">
      <c r="A114" s="25" t="s">
        <v>1083</v>
      </c>
      <c r="B114" s="25" t="s">
        <v>730</v>
      </c>
      <c r="C114" s="25" t="s">
        <v>1084</v>
      </c>
    </row>
    <row r="115" spans="1:5" x14ac:dyDescent="0.45">
      <c r="A115" s="25" t="s">
        <v>1085</v>
      </c>
      <c r="B115" s="25" t="s">
        <v>719</v>
      </c>
      <c r="C115" s="25" t="s">
        <v>1086</v>
      </c>
    </row>
    <row r="116" spans="1:5" x14ac:dyDescent="0.45">
      <c r="A116" s="25" t="s">
        <v>1087</v>
      </c>
      <c r="B116" s="25" t="s">
        <v>936</v>
      </c>
      <c r="C116" s="25" t="s">
        <v>1088</v>
      </c>
    </row>
    <row r="117" spans="1:5" x14ac:dyDescent="0.45">
      <c r="A117" s="25" t="s">
        <v>1089</v>
      </c>
      <c r="B117" s="25" t="s">
        <v>730</v>
      </c>
      <c r="C117" s="25" t="s">
        <v>1090</v>
      </c>
      <c r="D117" s="25" t="s">
        <v>1091</v>
      </c>
      <c r="E117" s="25" t="s">
        <v>1092</v>
      </c>
    </row>
    <row r="118" spans="1:5" x14ac:dyDescent="0.45">
      <c r="A118" s="25" t="s">
        <v>1093</v>
      </c>
      <c r="B118" s="25" t="s">
        <v>1094</v>
      </c>
      <c r="C118" s="25" t="s">
        <v>1095</v>
      </c>
    </row>
    <row r="119" spans="1:5" x14ac:dyDescent="0.45">
      <c r="A119" s="25" t="s">
        <v>1096</v>
      </c>
      <c r="B119" s="25" t="s">
        <v>1098</v>
      </c>
      <c r="C119" s="25" t="s">
        <v>1097</v>
      </c>
    </row>
    <row r="120" spans="1:5" x14ac:dyDescent="0.45">
      <c r="A120" s="25" t="s">
        <v>1099</v>
      </c>
      <c r="B120" s="25" t="s">
        <v>1100</v>
      </c>
      <c r="C120" s="25" t="s">
        <v>1101</v>
      </c>
    </row>
    <row r="121" spans="1:5" x14ac:dyDescent="0.45">
      <c r="A121" s="25" t="s">
        <v>1102</v>
      </c>
      <c r="B121" s="25" t="s">
        <v>868</v>
      </c>
      <c r="C121" s="25" t="s">
        <v>1103</v>
      </c>
    </row>
    <row r="122" spans="1:5" x14ac:dyDescent="0.45">
      <c r="A122" s="25" t="s">
        <v>1104</v>
      </c>
      <c r="B122" s="25" t="s">
        <v>1105</v>
      </c>
      <c r="C122" s="25" t="s">
        <v>1106</v>
      </c>
    </row>
    <row r="123" spans="1:5" x14ac:dyDescent="0.45">
      <c r="A123" s="25" t="s">
        <v>1107</v>
      </c>
      <c r="B123" s="25" t="s">
        <v>1108</v>
      </c>
      <c r="C123" s="25" t="s">
        <v>1109</v>
      </c>
    </row>
    <row r="124" spans="1:5" x14ac:dyDescent="0.45">
      <c r="A124" s="25" t="s">
        <v>1110</v>
      </c>
      <c r="B124" s="25" t="s">
        <v>1111</v>
      </c>
      <c r="C124" s="25" t="s">
        <v>1112</v>
      </c>
    </row>
    <row r="125" spans="1:5" x14ac:dyDescent="0.45">
      <c r="A125" s="25" t="s">
        <v>1113</v>
      </c>
      <c r="B125" s="25" t="s">
        <v>1114</v>
      </c>
      <c r="C125" s="25" t="s">
        <v>1115</v>
      </c>
    </row>
    <row r="126" spans="1:5" x14ac:dyDescent="0.45">
      <c r="A126" s="25" t="s">
        <v>1116</v>
      </c>
      <c r="B126" s="25" t="s">
        <v>1117</v>
      </c>
      <c r="C126" s="25" t="s">
        <v>1118</v>
      </c>
    </row>
    <row r="127" spans="1:5" x14ac:dyDescent="0.45">
      <c r="A127" s="25" t="s">
        <v>1119</v>
      </c>
      <c r="B127" s="25" t="s">
        <v>992</v>
      </c>
      <c r="C127" s="25" t="s">
        <v>1120</v>
      </c>
    </row>
    <row r="128" spans="1:5" x14ac:dyDescent="0.45">
      <c r="A128" s="25" t="s">
        <v>1121</v>
      </c>
      <c r="C128" s="25" t="s">
        <v>1122</v>
      </c>
    </row>
    <row r="129" spans="1:5" x14ac:dyDescent="0.45">
      <c r="A129" s="25" t="s">
        <v>1123</v>
      </c>
      <c r="B129" s="25" t="s">
        <v>727</v>
      </c>
      <c r="C129" s="25" t="s">
        <v>1124</v>
      </c>
    </row>
    <row r="130" spans="1:5" x14ac:dyDescent="0.45">
      <c r="A130" s="25" t="s">
        <v>1125</v>
      </c>
      <c r="B130" s="25" t="s">
        <v>1126</v>
      </c>
      <c r="C130" s="25" t="s">
        <v>1128</v>
      </c>
      <c r="D130" s="25" t="s">
        <v>1127</v>
      </c>
    </row>
    <row r="131" spans="1:5" x14ac:dyDescent="0.45">
      <c r="A131" s="25" t="s">
        <v>1129</v>
      </c>
      <c r="B131" s="25" t="s">
        <v>1131</v>
      </c>
      <c r="C131" s="25" t="s">
        <v>1130</v>
      </c>
    </row>
    <row r="132" spans="1:5" x14ac:dyDescent="0.45">
      <c r="A132" s="25" t="s">
        <v>1132</v>
      </c>
      <c r="B132" s="25" t="s">
        <v>1030</v>
      </c>
      <c r="C132" s="25" t="s">
        <v>1133</v>
      </c>
    </row>
    <row r="133" spans="1:5" x14ac:dyDescent="0.45">
      <c r="A133" s="25" t="s">
        <v>1134</v>
      </c>
      <c r="B133" s="25" t="s">
        <v>826</v>
      </c>
      <c r="C133" s="25" t="s">
        <v>1135</v>
      </c>
    </row>
    <row r="134" spans="1:5" x14ac:dyDescent="0.45">
      <c r="A134" s="25" t="s">
        <v>1137</v>
      </c>
      <c r="B134" s="25" t="s">
        <v>1136</v>
      </c>
      <c r="C134" s="25" t="s">
        <v>1138</v>
      </c>
    </row>
    <row r="135" spans="1:5" x14ac:dyDescent="0.45">
      <c r="A135" s="25" t="s">
        <v>1139</v>
      </c>
      <c r="B135" s="25" t="s">
        <v>890</v>
      </c>
      <c r="C135" s="25" t="s">
        <v>1140</v>
      </c>
    </row>
    <row r="136" spans="1:5" x14ac:dyDescent="0.45">
      <c r="A136" s="25" t="s">
        <v>1142</v>
      </c>
      <c r="B136" s="25" t="s">
        <v>1141</v>
      </c>
      <c r="C136" s="25" t="s">
        <v>1143</v>
      </c>
    </row>
    <row r="137" spans="1:5" x14ac:dyDescent="0.45">
      <c r="A137" s="25" t="s">
        <v>1144</v>
      </c>
      <c r="B137" s="25" t="s">
        <v>1030</v>
      </c>
      <c r="C137" s="25" t="s">
        <v>1145</v>
      </c>
    </row>
    <row r="138" spans="1:5" x14ac:dyDescent="0.45">
      <c r="A138" s="25" t="s">
        <v>1146</v>
      </c>
      <c r="B138" s="25" t="s">
        <v>1147</v>
      </c>
      <c r="C138" s="25" t="s">
        <v>1148</v>
      </c>
    </row>
    <row r="139" spans="1:5" x14ac:dyDescent="0.45">
      <c r="A139" s="25" t="s">
        <v>1149</v>
      </c>
      <c r="B139" s="25" t="s">
        <v>1150</v>
      </c>
      <c r="C139" s="25" t="s">
        <v>1151</v>
      </c>
    </row>
    <row r="140" spans="1:5" x14ac:dyDescent="0.45">
      <c r="A140" s="25" t="s">
        <v>1152</v>
      </c>
      <c r="B140" s="25" t="s">
        <v>890</v>
      </c>
      <c r="C140" s="25" t="s">
        <v>1153</v>
      </c>
    </row>
    <row r="141" spans="1:5" x14ac:dyDescent="0.45">
      <c r="A141" s="25" t="s">
        <v>1154</v>
      </c>
      <c r="B141" s="25" t="s">
        <v>1042</v>
      </c>
      <c r="C141" s="25" t="s">
        <v>1155</v>
      </c>
    </row>
    <row r="142" spans="1:5" x14ac:dyDescent="0.45">
      <c r="A142" s="25" t="s">
        <v>1157</v>
      </c>
      <c r="B142" s="25" t="s">
        <v>1156</v>
      </c>
      <c r="C142" s="25" t="s">
        <v>1158</v>
      </c>
      <c r="D142" s="25" t="s">
        <v>492</v>
      </c>
      <c r="E142" s="25" t="s">
        <v>1159</v>
      </c>
    </row>
    <row r="143" spans="1:5" x14ac:dyDescent="0.45">
      <c r="A143" s="25" t="s">
        <v>1160</v>
      </c>
      <c r="B143" s="25" t="s">
        <v>720</v>
      </c>
      <c r="C143" s="25" t="s">
        <v>1161</v>
      </c>
    </row>
    <row r="144" spans="1:5" x14ac:dyDescent="0.45">
      <c r="A144" s="25" t="s">
        <v>1162</v>
      </c>
      <c r="B144" s="25" t="s">
        <v>1163</v>
      </c>
      <c r="C144" s="25" t="s">
        <v>1164</v>
      </c>
    </row>
    <row r="145" spans="1:3" x14ac:dyDescent="0.45">
      <c r="A145" s="25" t="s">
        <v>1165</v>
      </c>
      <c r="B145" s="25" t="s">
        <v>941</v>
      </c>
      <c r="C145" s="25" t="s">
        <v>1166</v>
      </c>
    </row>
    <row r="146" spans="1:3" x14ac:dyDescent="0.45">
      <c r="A146" s="25" t="s">
        <v>1167</v>
      </c>
      <c r="B146" s="25" t="s">
        <v>746</v>
      </c>
      <c r="C146" s="25" t="s">
        <v>1168</v>
      </c>
    </row>
    <row r="147" spans="1:3" x14ac:dyDescent="0.45">
      <c r="A147" s="25" t="s">
        <v>1169</v>
      </c>
      <c r="B147" s="25" t="s">
        <v>719</v>
      </c>
      <c r="C147" s="25" t="s">
        <v>1170</v>
      </c>
    </row>
    <row r="149" spans="1:3" x14ac:dyDescent="0.45">
      <c r="C149" s="25" t="s">
        <v>1535</v>
      </c>
    </row>
    <row r="190" spans="1:3" x14ac:dyDescent="0.45">
      <c r="A190" s="25" t="s">
        <v>1171</v>
      </c>
      <c r="C190" s="25" t="s">
        <v>1172</v>
      </c>
    </row>
    <row r="191" spans="1:3" x14ac:dyDescent="0.45">
      <c r="A191" s="25" t="s">
        <v>1173</v>
      </c>
      <c r="C191" s="25" t="s">
        <v>1174</v>
      </c>
    </row>
    <row r="192" spans="1:3" x14ac:dyDescent="0.45">
      <c r="A192" s="25" t="s">
        <v>1175</v>
      </c>
      <c r="C192" s="25" t="s">
        <v>1176</v>
      </c>
    </row>
    <row r="193" spans="1:3" x14ac:dyDescent="0.45">
      <c r="C193" s="25" t="s">
        <v>1177</v>
      </c>
    </row>
    <row r="194" spans="1:3" x14ac:dyDescent="0.45">
      <c r="A194" s="25" t="s">
        <v>1179</v>
      </c>
      <c r="C194" s="25" t="s">
        <v>1178</v>
      </c>
    </row>
    <row r="195" spans="1:3" x14ac:dyDescent="0.45">
      <c r="A195" s="25" t="s">
        <v>1181</v>
      </c>
      <c r="C195" s="25" t="s">
        <v>1180</v>
      </c>
    </row>
    <row r="196" spans="1:3" x14ac:dyDescent="0.45">
      <c r="A196" s="25" t="s">
        <v>1182</v>
      </c>
      <c r="C196" s="25" t="s">
        <v>1183</v>
      </c>
    </row>
    <row r="197" spans="1:3" x14ac:dyDescent="0.45">
      <c r="A197" s="25" t="s">
        <v>1185</v>
      </c>
      <c r="C197" s="25" t="s">
        <v>1184</v>
      </c>
    </row>
    <row r="198" spans="1:3" x14ac:dyDescent="0.45">
      <c r="A198" s="25" t="s">
        <v>1186</v>
      </c>
      <c r="C198" s="25" t="s">
        <v>1187</v>
      </c>
    </row>
    <row r="199" spans="1:3" x14ac:dyDescent="0.45">
      <c r="A199" s="25" t="s">
        <v>1188</v>
      </c>
      <c r="C199" s="25" t="s">
        <v>1189</v>
      </c>
    </row>
    <row r="200" spans="1:3" x14ac:dyDescent="0.45">
      <c r="A200" s="25" t="s">
        <v>1190</v>
      </c>
      <c r="C200" s="25" t="s">
        <v>1191</v>
      </c>
    </row>
    <row r="201" spans="1:3" x14ac:dyDescent="0.45">
      <c r="A201" s="25" t="s">
        <v>1192</v>
      </c>
      <c r="C201" s="25" t="s">
        <v>1193</v>
      </c>
    </row>
    <row r="202" spans="1:3" x14ac:dyDescent="0.45">
      <c r="A202" s="25" t="s">
        <v>1195</v>
      </c>
      <c r="C202" s="25" t="s">
        <v>1194</v>
      </c>
    </row>
    <row r="203" spans="1:3" x14ac:dyDescent="0.45">
      <c r="A203" s="25" t="s">
        <v>1196</v>
      </c>
      <c r="C203" s="25" t="s">
        <v>1197</v>
      </c>
    </row>
    <row r="204" spans="1:3" x14ac:dyDescent="0.45">
      <c r="A204" s="25" t="s">
        <v>1199</v>
      </c>
      <c r="C204" s="25" t="s">
        <v>1198</v>
      </c>
    </row>
    <row r="205" spans="1:3" x14ac:dyDescent="0.45">
      <c r="A205" s="25" t="s">
        <v>1200</v>
      </c>
      <c r="C205" s="25" t="s">
        <v>1201</v>
      </c>
    </row>
    <row r="208" spans="1:3" x14ac:dyDescent="0.45">
      <c r="A208" s="25" t="s">
        <v>1202</v>
      </c>
      <c r="C208" s="25" t="s">
        <v>1203</v>
      </c>
    </row>
    <row r="209" spans="1:3" x14ac:dyDescent="0.45">
      <c r="A209" s="25" t="s">
        <v>1204</v>
      </c>
      <c r="C209" s="25" t="s">
        <v>1205</v>
      </c>
    </row>
    <row r="210" spans="1:3" x14ac:dyDescent="0.45">
      <c r="A210" s="25" t="s">
        <v>1207</v>
      </c>
      <c r="B210" s="25" t="s">
        <v>1208</v>
      </c>
      <c r="C210" s="25" t="s">
        <v>1206</v>
      </c>
    </row>
    <row r="211" spans="1:3" x14ac:dyDescent="0.45">
      <c r="A211" s="25" t="s">
        <v>1209</v>
      </c>
      <c r="B211" s="25" t="s">
        <v>1011</v>
      </c>
      <c r="C211" s="25" t="s">
        <v>1210</v>
      </c>
    </row>
    <row r="212" spans="1:3" x14ac:dyDescent="0.45">
      <c r="A212" s="25" t="s">
        <v>1211</v>
      </c>
      <c r="B212" s="25" t="s">
        <v>1212</v>
      </c>
      <c r="C212" s="25" t="s">
        <v>1213</v>
      </c>
    </row>
    <row r="213" spans="1:3" x14ac:dyDescent="0.45">
      <c r="A213" s="25" t="s">
        <v>1214</v>
      </c>
      <c r="B213" s="25" t="s">
        <v>1215</v>
      </c>
      <c r="C213" s="25" t="s">
        <v>1216</v>
      </c>
    </row>
    <row r="214" spans="1:3" x14ac:dyDescent="0.45">
      <c r="A214" s="25" t="s">
        <v>1217</v>
      </c>
      <c r="B214" s="25" t="s">
        <v>872</v>
      </c>
      <c r="C214" s="25" t="s">
        <v>1218</v>
      </c>
    </row>
    <row r="215" spans="1:3" x14ac:dyDescent="0.45">
      <c r="A215" s="25" t="s">
        <v>1219</v>
      </c>
      <c r="B215" s="25" t="s">
        <v>1220</v>
      </c>
      <c r="C215" s="25" t="s">
        <v>1221</v>
      </c>
    </row>
    <row r="216" spans="1:3" x14ac:dyDescent="0.45">
      <c r="A216" s="25" t="s">
        <v>1222</v>
      </c>
      <c r="B216" s="25" t="s">
        <v>1223</v>
      </c>
      <c r="C216" s="25" t="s">
        <v>1224</v>
      </c>
    </row>
    <row r="217" spans="1:3" x14ac:dyDescent="0.45">
      <c r="A217" s="25" t="s">
        <v>1225</v>
      </c>
      <c r="B217" s="25" t="s">
        <v>1226</v>
      </c>
      <c r="C217" s="25" t="s">
        <v>1227</v>
      </c>
    </row>
    <row r="218" spans="1:3" x14ac:dyDescent="0.45">
      <c r="A218" s="25" t="s">
        <v>1228</v>
      </c>
      <c r="B218" s="25" t="s">
        <v>1229</v>
      </c>
      <c r="C218" s="25" t="s">
        <v>1230</v>
      </c>
    </row>
    <row r="219" spans="1:3" x14ac:dyDescent="0.45">
      <c r="A219" s="25" t="s">
        <v>1231</v>
      </c>
      <c r="B219" s="25" t="s">
        <v>1232</v>
      </c>
      <c r="C219" s="25" t="s">
        <v>1233</v>
      </c>
    </row>
    <row r="220" spans="1:3" x14ac:dyDescent="0.45">
      <c r="A220" s="25" t="s">
        <v>1234</v>
      </c>
      <c r="B220" s="25" t="s">
        <v>1038</v>
      </c>
      <c r="C220" s="25" t="s">
        <v>1235</v>
      </c>
    </row>
    <row r="221" spans="1:3" x14ac:dyDescent="0.45">
      <c r="A221" s="25" t="s">
        <v>1236</v>
      </c>
      <c r="B221" s="25" t="s">
        <v>1237</v>
      </c>
      <c r="C221" s="25" t="s">
        <v>1238</v>
      </c>
    </row>
    <row r="222" spans="1:3" x14ac:dyDescent="0.45">
      <c r="A222" s="25" t="s">
        <v>1239</v>
      </c>
      <c r="B222" s="25" t="s">
        <v>1240</v>
      </c>
      <c r="C222" s="25" t="s">
        <v>1241</v>
      </c>
    </row>
    <row r="223" spans="1:3" x14ac:dyDescent="0.45">
      <c r="A223" s="25" t="s">
        <v>1242</v>
      </c>
      <c r="B223" s="25" t="s">
        <v>1244</v>
      </c>
      <c r="C223" s="25" t="s">
        <v>1243</v>
      </c>
    </row>
    <row r="224" spans="1:3" x14ac:dyDescent="0.45">
      <c r="A224" s="25" t="s">
        <v>1245</v>
      </c>
      <c r="B224" s="25" t="s">
        <v>1246</v>
      </c>
      <c r="C224" s="25" t="s">
        <v>1247</v>
      </c>
    </row>
    <row r="225" spans="1:3" x14ac:dyDescent="0.45">
      <c r="A225" s="25" t="s">
        <v>1248</v>
      </c>
      <c r="B225" s="25" t="s">
        <v>1249</v>
      </c>
      <c r="C225" s="25" t="s">
        <v>1250</v>
      </c>
    </row>
    <row r="226" spans="1:3" x14ac:dyDescent="0.45">
      <c r="A226" s="25" t="s">
        <v>1251</v>
      </c>
      <c r="B226" s="25" t="s">
        <v>1252</v>
      </c>
      <c r="C226" s="25" t="s">
        <v>1253</v>
      </c>
    </row>
    <row r="227" spans="1:3" x14ac:dyDescent="0.45">
      <c r="A227" s="25" t="s">
        <v>1254</v>
      </c>
      <c r="B227" s="25" t="s">
        <v>1255</v>
      </c>
      <c r="C227" s="25" t="s">
        <v>1256</v>
      </c>
    </row>
    <row r="228" spans="1:3" x14ac:dyDescent="0.45">
      <c r="A228" s="25" t="s">
        <v>1258</v>
      </c>
      <c r="B228" s="25" t="s">
        <v>1259</v>
      </c>
      <c r="C228" s="25" t="s">
        <v>1257</v>
      </c>
    </row>
    <row r="229" spans="1:3" x14ac:dyDescent="0.45">
      <c r="A229" s="25" t="s">
        <v>1260</v>
      </c>
      <c r="B229" s="25" t="s">
        <v>1223</v>
      </c>
      <c r="C229" s="25" t="s">
        <v>1261</v>
      </c>
    </row>
    <row r="230" spans="1:3" x14ac:dyDescent="0.45">
      <c r="A230" s="25" t="s">
        <v>1262</v>
      </c>
      <c r="B230" s="25" t="s">
        <v>1263</v>
      </c>
      <c r="C230" s="25" t="s">
        <v>1264</v>
      </c>
    </row>
    <row r="231" spans="1:3" x14ac:dyDescent="0.45">
      <c r="A231" s="25" t="s">
        <v>1265</v>
      </c>
      <c r="B231" s="25" t="s">
        <v>1266</v>
      </c>
      <c r="C231" s="25" t="s">
        <v>1267</v>
      </c>
    </row>
    <row r="232" spans="1:3" x14ac:dyDescent="0.45">
      <c r="A232" s="25" t="s">
        <v>1268</v>
      </c>
      <c r="B232" s="25" t="s">
        <v>936</v>
      </c>
      <c r="C232" s="25" t="s">
        <v>1269</v>
      </c>
    </row>
    <row r="233" spans="1:3" x14ac:dyDescent="0.45">
      <c r="A233" s="25" t="s">
        <v>1270</v>
      </c>
      <c r="B233" s="25" t="s">
        <v>1271</v>
      </c>
      <c r="C233" s="25" t="s">
        <v>1272</v>
      </c>
    </row>
    <row r="234" spans="1:3" x14ac:dyDescent="0.45">
      <c r="A234" s="25" t="s">
        <v>1273</v>
      </c>
      <c r="B234" s="25" t="s">
        <v>982</v>
      </c>
      <c r="C234" s="25" t="s">
        <v>1274</v>
      </c>
    </row>
    <row r="235" spans="1:3" x14ac:dyDescent="0.45">
      <c r="A235" s="25" t="s">
        <v>1275</v>
      </c>
      <c r="B235" s="25" t="s">
        <v>734</v>
      </c>
      <c r="C235" s="25" t="s">
        <v>1276</v>
      </c>
    </row>
    <row r="236" spans="1:3" x14ac:dyDescent="0.45">
      <c r="A236" s="25" t="s">
        <v>1277</v>
      </c>
      <c r="B236" s="25" t="s">
        <v>1278</v>
      </c>
      <c r="C236" s="25" t="s">
        <v>1279</v>
      </c>
    </row>
    <row r="237" spans="1:3" x14ac:dyDescent="0.45">
      <c r="A237" s="25" t="s">
        <v>1280</v>
      </c>
      <c r="B237" s="25" t="s">
        <v>1281</v>
      </c>
      <c r="C237" s="25" t="s">
        <v>1282</v>
      </c>
    </row>
    <row r="238" spans="1:3" x14ac:dyDescent="0.45">
      <c r="A238" s="25" t="s">
        <v>1283</v>
      </c>
      <c r="B238" s="25" t="s">
        <v>734</v>
      </c>
      <c r="C238" s="25" t="s">
        <v>1284</v>
      </c>
    </row>
    <row r="239" spans="1:3" x14ac:dyDescent="0.45">
      <c r="A239" s="25" t="s">
        <v>1285</v>
      </c>
      <c r="B239" s="25" t="s">
        <v>1287</v>
      </c>
      <c r="C239" s="25" t="s">
        <v>1286</v>
      </c>
    </row>
    <row r="240" spans="1:3" x14ac:dyDescent="0.45">
      <c r="A240" s="25" t="s">
        <v>1288</v>
      </c>
      <c r="B240" s="25" t="s">
        <v>1289</v>
      </c>
      <c r="C240" s="25" t="s">
        <v>1286</v>
      </c>
    </row>
    <row r="241" spans="1:3" x14ac:dyDescent="0.45">
      <c r="A241" s="25" t="s">
        <v>1290</v>
      </c>
      <c r="B241" s="25" t="s">
        <v>1094</v>
      </c>
      <c r="C241" s="25" t="s">
        <v>1291</v>
      </c>
    </row>
    <row r="242" spans="1:3" x14ac:dyDescent="0.45">
      <c r="A242" s="25" t="s">
        <v>1292</v>
      </c>
      <c r="B242" s="25" t="s">
        <v>734</v>
      </c>
      <c r="C242" s="25" t="s">
        <v>1293</v>
      </c>
    </row>
    <row r="243" spans="1:3" x14ac:dyDescent="0.45">
      <c r="A243" s="25" t="s">
        <v>1294</v>
      </c>
      <c r="B243" s="25" t="s">
        <v>1295</v>
      </c>
      <c r="C243" s="25" t="s">
        <v>1296</v>
      </c>
    </row>
    <row r="244" spans="1:3" x14ac:dyDescent="0.45">
      <c r="A244" s="25" t="s">
        <v>1297</v>
      </c>
      <c r="B244" s="25" t="s">
        <v>734</v>
      </c>
      <c r="C244" s="25" t="s">
        <v>1298</v>
      </c>
    </row>
    <row r="245" spans="1:3" x14ac:dyDescent="0.45">
      <c r="A245" s="25" t="s">
        <v>1300</v>
      </c>
      <c r="B245" s="25" t="s">
        <v>1299</v>
      </c>
      <c r="C245" s="25" t="s">
        <v>1301</v>
      </c>
    </row>
    <row r="246" spans="1:3" x14ac:dyDescent="0.45">
      <c r="A246" s="25" t="s">
        <v>1302</v>
      </c>
      <c r="B246" s="25" t="s">
        <v>734</v>
      </c>
      <c r="C246" s="25" t="s">
        <v>1303</v>
      </c>
    </row>
    <row r="247" spans="1:3" x14ac:dyDescent="0.45">
      <c r="A247" s="25" t="s">
        <v>1304</v>
      </c>
      <c r="B247" s="25" t="s">
        <v>1305</v>
      </c>
      <c r="C247" s="25" t="s">
        <v>1306</v>
      </c>
    </row>
    <row r="248" spans="1:3" x14ac:dyDescent="0.45">
      <c r="A248" s="25" t="s">
        <v>1307</v>
      </c>
      <c r="B248" s="25" t="s">
        <v>871</v>
      </c>
      <c r="C248" s="25" t="s">
        <v>1308</v>
      </c>
    </row>
    <row r="249" spans="1:3" x14ac:dyDescent="0.45">
      <c r="A249" s="25" t="s">
        <v>1309</v>
      </c>
      <c r="B249" s="25" t="s">
        <v>1310</v>
      </c>
      <c r="C249" s="25" t="s">
        <v>1311</v>
      </c>
    </row>
    <row r="250" spans="1:3" x14ac:dyDescent="0.45">
      <c r="A250" s="25" t="s">
        <v>1312</v>
      </c>
      <c r="C250" s="25" t="s">
        <v>1313</v>
      </c>
    </row>
    <row r="251" spans="1:3" x14ac:dyDescent="0.45">
      <c r="A251" s="25" t="s">
        <v>1314</v>
      </c>
      <c r="C251" s="25" t="s">
        <v>1315</v>
      </c>
    </row>
    <row r="252" spans="1:3" x14ac:dyDescent="0.45">
      <c r="A252" s="25" t="s">
        <v>1316</v>
      </c>
      <c r="C252" s="25" t="s">
        <v>1317</v>
      </c>
    </row>
    <row r="253" spans="1:3" x14ac:dyDescent="0.45">
      <c r="A253" s="25" t="s">
        <v>1318</v>
      </c>
      <c r="B253" s="25" t="s">
        <v>1320</v>
      </c>
      <c r="C253" s="25" t="s">
        <v>1319</v>
      </c>
    </row>
    <row r="254" spans="1:3" x14ac:dyDescent="0.45">
      <c r="A254" s="25" t="s">
        <v>1321</v>
      </c>
      <c r="B254" s="25" t="s">
        <v>1322</v>
      </c>
      <c r="C254" s="25" t="s">
        <v>1323</v>
      </c>
    </row>
    <row r="255" spans="1:3" x14ac:dyDescent="0.45">
      <c r="A255" s="25" t="s">
        <v>1324</v>
      </c>
      <c r="B255" s="25" t="s">
        <v>1325</v>
      </c>
      <c r="C255" s="25" t="s">
        <v>1326</v>
      </c>
    </row>
    <row r="256" spans="1:3" x14ac:dyDescent="0.45">
      <c r="A256" s="25" t="s">
        <v>1327</v>
      </c>
      <c r="B256" s="25" t="s">
        <v>727</v>
      </c>
      <c r="C256" s="25" t="s">
        <v>1328</v>
      </c>
    </row>
    <row r="257" spans="1:3" x14ac:dyDescent="0.45">
      <c r="A257" s="25" t="s">
        <v>1329</v>
      </c>
      <c r="B257" s="25" t="s">
        <v>730</v>
      </c>
      <c r="C257" s="25" t="s">
        <v>1330</v>
      </c>
    </row>
    <row r="258" spans="1:3" x14ac:dyDescent="0.45">
      <c r="A258" s="25" t="s">
        <v>1332</v>
      </c>
      <c r="B258" s="25" t="s">
        <v>727</v>
      </c>
      <c r="C258" s="25" t="s">
        <v>1331</v>
      </c>
    </row>
    <row r="259" spans="1:3" x14ac:dyDescent="0.45">
      <c r="A259" s="25" t="s">
        <v>1333</v>
      </c>
      <c r="B259" s="25" t="s">
        <v>727</v>
      </c>
      <c r="C259" s="25" t="s">
        <v>1334</v>
      </c>
    </row>
    <row r="260" spans="1:3" x14ac:dyDescent="0.45">
      <c r="A260" s="25" t="s">
        <v>1336</v>
      </c>
      <c r="B260" s="25" t="s">
        <v>727</v>
      </c>
      <c r="C260" s="25" t="s">
        <v>1335</v>
      </c>
    </row>
    <row r="261" spans="1:3" x14ac:dyDescent="0.45">
      <c r="A261" s="25" t="s">
        <v>1337</v>
      </c>
      <c r="B261" s="25" t="s">
        <v>727</v>
      </c>
      <c r="C261" s="25" t="s">
        <v>1339</v>
      </c>
    </row>
    <row r="262" spans="1:3" x14ac:dyDescent="0.45">
      <c r="A262" s="25" t="s">
        <v>1338</v>
      </c>
      <c r="B262" s="25" t="s">
        <v>734</v>
      </c>
      <c r="C262" s="25" t="s">
        <v>1344</v>
      </c>
    </row>
    <row r="263" spans="1:3" x14ac:dyDescent="0.45">
      <c r="A263" s="25" t="s">
        <v>1340</v>
      </c>
      <c r="B263" s="25" t="s">
        <v>720</v>
      </c>
      <c r="C263" s="25" t="s">
        <v>1345</v>
      </c>
    </row>
    <row r="264" spans="1:3" x14ac:dyDescent="0.45">
      <c r="A264" s="25" t="s">
        <v>1341</v>
      </c>
      <c r="B264" s="25" t="s">
        <v>738</v>
      </c>
      <c r="C264" s="25" t="s">
        <v>1346</v>
      </c>
    </row>
    <row r="265" spans="1:3" x14ac:dyDescent="0.45">
      <c r="A265" s="25" t="s">
        <v>1342</v>
      </c>
      <c r="B265" s="25" t="s">
        <v>738</v>
      </c>
      <c r="C265" s="25" t="s">
        <v>1347</v>
      </c>
    </row>
    <row r="266" spans="1:3" x14ac:dyDescent="0.45">
      <c r="A266" s="25" t="s">
        <v>1343</v>
      </c>
      <c r="B266" s="25" t="s">
        <v>742</v>
      </c>
      <c r="C266" s="25" t="s">
        <v>1348</v>
      </c>
    </row>
    <row r="267" spans="1:3" x14ac:dyDescent="0.45">
      <c r="A267" s="25" t="s">
        <v>1349</v>
      </c>
      <c r="B267" s="25" t="s">
        <v>1022</v>
      </c>
      <c r="C267" s="25" t="s">
        <v>1350</v>
      </c>
    </row>
    <row r="268" spans="1:3" x14ac:dyDescent="0.45">
      <c r="A268" s="25" t="s">
        <v>1351</v>
      </c>
      <c r="B268" s="25" t="s">
        <v>694</v>
      </c>
      <c r="C268" s="25" t="s">
        <v>1352</v>
      </c>
    </row>
    <row r="269" spans="1:3" x14ac:dyDescent="0.45">
      <c r="A269" s="25" t="s">
        <v>1354</v>
      </c>
      <c r="B269" s="25" t="s">
        <v>1022</v>
      </c>
      <c r="C269" s="25" t="s">
        <v>1353</v>
      </c>
    </row>
    <row r="270" spans="1:3" x14ac:dyDescent="0.45">
      <c r="A270" s="25" t="s">
        <v>1356</v>
      </c>
      <c r="B270" s="25" t="s">
        <v>694</v>
      </c>
      <c r="C270" s="25" t="s">
        <v>1355</v>
      </c>
    </row>
    <row r="271" spans="1:3" x14ac:dyDescent="0.45">
      <c r="A271" s="25" t="s">
        <v>1357</v>
      </c>
      <c r="B271" s="25" t="s">
        <v>714</v>
      </c>
      <c r="C271" s="25" t="s">
        <v>1362</v>
      </c>
    </row>
    <row r="272" spans="1:3" x14ac:dyDescent="0.45">
      <c r="A272" s="25" t="s">
        <v>1359</v>
      </c>
      <c r="B272" s="25" t="s">
        <v>936</v>
      </c>
      <c r="C272" s="25" t="s">
        <v>1358</v>
      </c>
    </row>
    <row r="273" spans="1:3" x14ac:dyDescent="0.45">
      <c r="A273" s="25" t="s">
        <v>1360</v>
      </c>
      <c r="B273" s="25" t="s">
        <v>714</v>
      </c>
      <c r="C273" s="25" t="s">
        <v>1361</v>
      </c>
    </row>
    <row r="274" spans="1:3" x14ac:dyDescent="0.45">
      <c r="A274" s="25" t="s">
        <v>1364</v>
      </c>
      <c r="B274" s="25" t="s">
        <v>714</v>
      </c>
      <c r="C274" s="25" t="s">
        <v>1363</v>
      </c>
    </row>
    <row r="275" spans="1:3" x14ac:dyDescent="0.45">
      <c r="A275" s="25" t="s">
        <v>1365</v>
      </c>
      <c r="B275" s="25" t="s">
        <v>714</v>
      </c>
      <c r="C275" s="25" t="s">
        <v>1366</v>
      </c>
    </row>
    <row r="276" spans="1:3" x14ac:dyDescent="0.45">
      <c r="A276" s="25" t="s">
        <v>1367</v>
      </c>
      <c r="B276" s="25" t="s">
        <v>714</v>
      </c>
      <c r="C276" s="25" t="s">
        <v>1368</v>
      </c>
    </row>
    <row r="277" spans="1:3" x14ac:dyDescent="0.45">
      <c r="A277" s="25" t="s">
        <v>1369</v>
      </c>
      <c r="B277" s="25" t="s">
        <v>1098</v>
      </c>
      <c r="C277" s="25" t="s">
        <v>1370</v>
      </c>
    </row>
    <row r="278" spans="1:3" x14ac:dyDescent="0.45">
      <c r="A278" s="25" t="s">
        <v>1371</v>
      </c>
      <c r="B278" s="25" t="s">
        <v>1042</v>
      </c>
      <c r="C278" s="25" t="s">
        <v>1372</v>
      </c>
    </row>
    <row r="279" spans="1:3" x14ac:dyDescent="0.45">
      <c r="A279" s="25" t="s">
        <v>1373</v>
      </c>
      <c r="B279" s="25" t="s">
        <v>1038</v>
      </c>
      <c r="C279" s="25" t="s">
        <v>1374</v>
      </c>
    </row>
    <row r="280" spans="1:3" x14ac:dyDescent="0.45">
      <c r="A280" s="25" t="s">
        <v>1375</v>
      </c>
      <c r="B280" s="25" t="s">
        <v>1038</v>
      </c>
      <c r="C280" s="25" t="s">
        <v>1376</v>
      </c>
    </row>
    <row r="281" spans="1:3" x14ac:dyDescent="0.45">
      <c r="A281" s="25" t="s">
        <v>1378</v>
      </c>
      <c r="B281" s="25" t="s">
        <v>941</v>
      </c>
      <c r="C281" s="25" t="s">
        <v>1377</v>
      </c>
    </row>
    <row r="282" spans="1:3" x14ac:dyDescent="0.45">
      <c r="A282" s="25" t="s">
        <v>1379</v>
      </c>
      <c r="B282" s="25" t="s">
        <v>1380</v>
      </c>
      <c r="C282" s="25" t="s">
        <v>1381</v>
      </c>
    </row>
    <row r="283" spans="1:3" x14ac:dyDescent="0.45">
      <c r="A283" s="25" t="s">
        <v>1382</v>
      </c>
      <c r="B283" s="25" t="s">
        <v>1383</v>
      </c>
      <c r="C283" s="25" t="s">
        <v>1384</v>
      </c>
    </row>
    <row r="284" spans="1:3" x14ac:dyDescent="0.45">
      <c r="A284" s="25" t="s">
        <v>1385</v>
      </c>
      <c r="B284" s="25" t="s">
        <v>1386</v>
      </c>
      <c r="C284" s="25" t="s">
        <v>1387</v>
      </c>
    </row>
    <row r="285" spans="1:3" x14ac:dyDescent="0.45">
      <c r="A285" s="25" t="s">
        <v>1388</v>
      </c>
      <c r="B285" s="25" t="s">
        <v>1389</v>
      </c>
      <c r="C285" s="25" t="s">
        <v>1390</v>
      </c>
    </row>
    <row r="286" spans="1:3" x14ac:dyDescent="0.45">
      <c r="A286" s="25" t="s">
        <v>1391</v>
      </c>
      <c r="B286" s="25" t="s">
        <v>1392</v>
      </c>
      <c r="C286" s="25" t="s">
        <v>1393</v>
      </c>
    </row>
    <row r="287" spans="1:3" x14ac:dyDescent="0.45">
      <c r="A287" s="25" t="s">
        <v>1394</v>
      </c>
      <c r="B287" s="25" t="s">
        <v>858</v>
      </c>
      <c r="C287" s="25" t="s">
        <v>1395</v>
      </c>
    </row>
    <row r="288" spans="1:3" x14ac:dyDescent="0.45">
      <c r="A288" s="25" t="s">
        <v>1396</v>
      </c>
      <c r="B288" s="25" t="s">
        <v>1397</v>
      </c>
      <c r="C288" s="25" t="s">
        <v>1398</v>
      </c>
    </row>
    <row r="289" spans="1:3" x14ac:dyDescent="0.45">
      <c r="A289" s="25" t="s">
        <v>1399</v>
      </c>
      <c r="B289" s="25" t="s">
        <v>1287</v>
      </c>
      <c r="C289" s="25" t="s">
        <v>1400</v>
      </c>
    </row>
    <row r="290" spans="1:3" x14ac:dyDescent="0.45">
      <c r="A290" s="25" t="s">
        <v>1401</v>
      </c>
      <c r="B290" s="25" t="s">
        <v>1287</v>
      </c>
      <c r="C290" s="25" t="s">
        <v>1402</v>
      </c>
    </row>
    <row r="291" spans="1:3" x14ac:dyDescent="0.45">
      <c r="A291" s="25" t="s">
        <v>1403</v>
      </c>
      <c r="B291" s="25" t="s">
        <v>1287</v>
      </c>
      <c r="C291" s="25" t="s">
        <v>1404</v>
      </c>
    </row>
    <row r="292" spans="1:3" x14ac:dyDescent="0.45">
      <c r="A292" s="25" t="s">
        <v>1405</v>
      </c>
      <c r="B292" s="25" t="s">
        <v>903</v>
      </c>
      <c r="C292" s="25" t="s">
        <v>1406</v>
      </c>
    </row>
    <row r="293" spans="1:3" x14ac:dyDescent="0.45">
      <c r="A293" s="25" t="s">
        <v>1408</v>
      </c>
      <c r="B293" s="25" t="s">
        <v>893</v>
      </c>
      <c r="C293" s="25" t="s">
        <v>1407</v>
      </c>
    </row>
    <row r="294" spans="1:3" x14ac:dyDescent="0.45">
      <c r="A294" s="25" t="s">
        <v>1410</v>
      </c>
      <c r="B294" s="25" t="s">
        <v>903</v>
      </c>
      <c r="C294" s="25" t="s">
        <v>1409</v>
      </c>
    </row>
    <row r="295" spans="1:3" x14ac:dyDescent="0.45">
      <c r="A295" s="25" t="s">
        <v>1411</v>
      </c>
      <c r="B295" s="25" t="s">
        <v>1126</v>
      </c>
      <c r="C295" s="25" t="s">
        <v>1412</v>
      </c>
    </row>
    <row r="296" spans="1:3" x14ac:dyDescent="0.45">
      <c r="A296" s="25" t="s">
        <v>1413</v>
      </c>
      <c r="B296" s="25" t="s">
        <v>694</v>
      </c>
      <c r="C296" s="25" t="s">
        <v>1414</v>
      </c>
    </row>
    <row r="297" spans="1:3" x14ac:dyDescent="0.45">
      <c r="A297" s="25" t="s">
        <v>1415</v>
      </c>
      <c r="B297" s="25" t="s">
        <v>755</v>
      </c>
      <c r="C297" s="25" t="s">
        <v>1416</v>
      </c>
    </row>
    <row r="298" spans="1:3" x14ac:dyDescent="0.45">
      <c r="A298" s="25" t="s">
        <v>1417</v>
      </c>
      <c r="B298" s="25" t="s">
        <v>694</v>
      </c>
      <c r="C298" s="25" t="s">
        <v>1418</v>
      </c>
    </row>
    <row r="299" spans="1:3" x14ac:dyDescent="0.45">
      <c r="A299" s="25" t="s">
        <v>1419</v>
      </c>
      <c r="B299" s="25" t="s">
        <v>734</v>
      </c>
      <c r="C299" s="25" t="s">
        <v>1420</v>
      </c>
    </row>
    <row r="300" spans="1:3" x14ac:dyDescent="0.45">
      <c r="A300" s="25" t="s">
        <v>1421</v>
      </c>
      <c r="B300" s="25" t="s">
        <v>903</v>
      </c>
      <c r="C300" s="25" t="s">
        <v>1422</v>
      </c>
    </row>
    <row r="301" spans="1:3" x14ac:dyDescent="0.45">
      <c r="A301" s="25" t="s">
        <v>1423</v>
      </c>
      <c r="B301" s="25" t="s">
        <v>1424</v>
      </c>
      <c r="C301" s="25" t="s">
        <v>1425</v>
      </c>
    </row>
    <row r="302" spans="1:3" x14ac:dyDescent="0.45">
      <c r="A302" s="25" t="s">
        <v>1426</v>
      </c>
      <c r="B302" s="25" t="s">
        <v>872</v>
      </c>
      <c r="C302" s="25" t="s">
        <v>1427</v>
      </c>
    </row>
    <row r="303" spans="1:3" x14ac:dyDescent="0.45">
      <c r="A303" s="25" t="s">
        <v>1428</v>
      </c>
      <c r="B303" s="25" t="s">
        <v>721</v>
      </c>
      <c r="C303" s="25" t="s">
        <v>1429</v>
      </c>
    </row>
    <row r="304" spans="1:3" x14ac:dyDescent="0.45">
      <c r="A304" s="25" t="s">
        <v>1430</v>
      </c>
      <c r="B304" s="25" t="s">
        <v>923</v>
      </c>
      <c r="C304" s="25" t="s">
        <v>1431</v>
      </c>
    </row>
    <row r="305" spans="1:3" x14ac:dyDescent="0.45">
      <c r="A305" s="25" t="s">
        <v>1432</v>
      </c>
      <c r="B305" s="25" t="s">
        <v>723</v>
      </c>
      <c r="C305" s="25" t="s">
        <v>1433</v>
      </c>
    </row>
    <row r="306" spans="1:3" x14ac:dyDescent="0.45">
      <c r="A306" s="25" t="s">
        <v>1434</v>
      </c>
      <c r="B306" s="25" t="s">
        <v>1141</v>
      </c>
      <c r="C306" s="25" t="s">
        <v>1435</v>
      </c>
    </row>
    <row r="307" spans="1:3" x14ac:dyDescent="0.45">
      <c r="A307" s="25" t="s">
        <v>1436</v>
      </c>
      <c r="B307" s="25" t="s">
        <v>1437</v>
      </c>
      <c r="C307" s="25" t="s">
        <v>1438</v>
      </c>
    </row>
    <row r="308" spans="1:3" x14ac:dyDescent="0.45">
      <c r="A308" s="25" t="s">
        <v>1439</v>
      </c>
      <c r="B308" s="25" t="s">
        <v>730</v>
      </c>
      <c r="C308" s="25" t="s">
        <v>1440</v>
      </c>
    </row>
    <row r="309" spans="1:3" x14ac:dyDescent="0.45">
      <c r="A309" s="25" t="s">
        <v>1441</v>
      </c>
      <c r="B309" s="25" t="s">
        <v>1442</v>
      </c>
      <c r="C309" s="25" t="s">
        <v>1443</v>
      </c>
    </row>
    <row r="310" spans="1:3" x14ac:dyDescent="0.45">
      <c r="A310" s="25" t="s">
        <v>1444</v>
      </c>
      <c r="B310" s="25" t="s">
        <v>1445</v>
      </c>
      <c r="C310" s="25" t="s">
        <v>1446</v>
      </c>
    </row>
    <row r="311" spans="1:3" x14ac:dyDescent="0.45">
      <c r="A311" s="25" t="s">
        <v>1447</v>
      </c>
      <c r="B311" s="25" t="s">
        <v>1448</v>
      </c>
      <c r="C311" s="25" t="s">
        <v>1449</v>
      </c>
    </row>
    <row r="312" spans="1:3" x14ac:dyDescent="0.45">
      <c r="A312" s="25" t="s">
        <v>1450</v>
      </c>
      <c r="B312" s="25" t="s">
        <v>1451</v>
      </c>
      <c r="C312" s="25" t="s">
        <v>1452</v>
      </c>
    </row>
    <row r="313" spans="1:3" x14ac:dyDescent="0.45">
      <c r="A313" s="25" t="s">
        <v>1453</v>
      </c>
      <c r="B313" s="25" t="s">
        <v>1454</v>
      </c>
      <c r="C313" s="25" t="s">
        <v>1455</v>
      </c>
    </row>
    <row r="317" spans="1:3" x14ac:dyDescent="0.45">
      <c r="A317" s="25" t="s">
        <v>1456</v>
      </c>
      <c r="B317" s="25" t="s">
        <v>1458</v>
      </c>
      <c r="C317" s="25" t="s">
        <v>1457</v>
      </c>
    </row>
    <row r="318" spans="1:3" x14ac:dyDescent="0.45">
      <c r="A318" s="25" t="s">
        <v>1459</v>
      </c>
      <c r="C318" s="25" t="s">
        <v>1461</v>
      </c>
    </row>
    <row r="319" spans="1:3" x14ac:dyDescent="0.45">
      <c r="A319" s="25" t="s">
        <v>1460</v>
      </c>
      <c r="C319" s="25" t="s">
        <v>1462</v>
      </c>
    </row>
    <row r="320" spans="1:3" x14ac:dyDescent="0.45">
      <c r="A320" s="25" t="s">
        <v>1463</v>
      </c>
      <c r="B320" s="25" t="s">
        <v>1442</v>
      </c>
      <c r="C320" s="25" t="s">
        <v>1473</v>
      </c>
    </row>
    <row r="321" spans="1:3" x14ac:dyDescent="0.45">
      <c r="A321" s="25" t="s">
        <v>1471</v>
      </c>
      <c r="B321" s="25" t="s">
        <v>1454</v>
      </c>
      <c r="C321" s="25" t="s">
        <v>1472</v>
      </c>
    </row>
    <row r="322" spans="1:3" x14ac:dyDescent="0.45">
      <c r="A322" s="25" t="s">
        <v>1464</v>
      </c>
      <c r="B322" s="25" t="s">
        <v>1465</v>
      </c>
      <c r="C322" s="25" t="s">
        <v>1466</v>
      </c>
    </row>
    <row r="323" spans="1:3" x14ac:dyDescent="0.45">
      <c r="A323" s="25" t="s">
        <v>1474</v>
      </c>
      <c r="B323" s="25" t="s">
        <v>1475</v>
      </c>
      <c r="C323" s="25" t="s">
        <v>1476</v>
      </c>
    </row>
    <row r="324" spans="1:3" x14ac:dyDescent="0.45">
      <c r="A324" s="25" t="s">
        <v>1467</v>
      </c>
      <c r="B324" s="25" t="s">
        <v>1266</v>
      </c>
      <c r="C324" s="25" t="s">
        <v>1468</v>
      </c>
    </row>
    <row r="325" spans="1:3" x14ac:dyDescent="0.45">
      <c r="A325" s="25" t="s">
        <v>1469</v>
      </c>
      <c r="B325" s="25" t="s">
        <v>1024</v>
      </c>
      <c r="C325" s="25" t="s">
        <v>1470</v>
      </c>
    </row>
    <row r="326" spans="1:3" x14ac:dyDescent="0.45">
      <c r="A326" s="25" t="s">
        <v>1480</v>
      </c>
      <c r="C326" s="25" t="s">
        <v>1481</v>
      </c>
    </row>
    <row r="327" spans="1:3" x14ac:dyDescent="0.45">
      <c r="A327" s="25" t="s">
        <v>1477</v>
      </c>
      <c r="B327" s="25" t="s">
        <v>1479</v>
      </c>
      <c r="C327" s="25" t="s">
        <v>1478</v>
      </c>
    </row>
    <row r="329" spans="1:3" x14ac:dyDescent="0.45">
      <c r="A329" s="25" t="s">
        <v>1482</v>
      </c>
      <c r="B329" s="25" t="s">
        <v>1483</v>
      </c>
      <c r="C329" s="25" t="s">
        <v>1484</v>
      </c>
    </row>
    <row r="330" spans="1:3" x14ac:dyDescent="0.45">
      <c r="A330" s="25" t="s">
        <v>1485</v>
      </c>
      <c r="B330" s="25" t="s">
        <v>868</v>
      </c>
      <c r="C330" s="25" t="s">
        <v>1486</v>
      </c>
    </row>
    <row r="331" spans="1:3" x14ac:dyDescent="0.45">
      <c r="A331" s="25" t="s">
        <v>1487</v>
      </c>
      <c r="B331" s="25" t="s">
        <v>723</v>
      </c>
    </row>
    <row r="332" spans="1:3" x14ac:dyDescent="0.45">
      <c r="A332" s="25" t="s">
        <v>1488</v>
      </c>
      <c r="B332" s="25" t="s">
        <v>868</v>
      </c>
      <c r="C332" s="25" t="s">
        <v>1489</v>
      </c>
    </row>
    <row r="333" spans="1:3" x14ac:dyDescent="0.45">
      <c r="A333" s="25" t="s">
        <v>1490</v>
      </c>
      <c r="B333" s="25" t="s">
        <v>893</v>
      </c>
    </row>
    <row r="334" spans="1:3" x14ac:dyDescent="0.45">
      <c r="A334" s="25" t="s">
        <v>1491</v>
      </c>
      <c r="B334" s="25" t="s">
        <v>1492</v>
      </c>
      <c r="C334" s="25" t="s">
        <v>1493</v>
      </c>
    </row>
    <row r="335" spans="1:3" x14ac:dyDescent="0.45">
      <c r="A335" s="25" t="s">
        <v>1494</v>
      </c>
      <c r="B335" s="25" t="s">
        <v>1495</v>
      </c>
      <c r="C335" s="25" t="s">
        <v>1496</v>
      </c>
    </row>
    <row r="336" spans="1:3" x14ac:dyDescent="0.45">
      <c r="A336" s="25" t="s">
        <v>1497</v>
      </c>
      <c r="B336" s="25" t="s">
        <v>1389</v>
      </c>
      <c r="C336" s="25" t="s">
        <v>1498</v>
      </c>
    </row>
    <row r="337" spans="1:6" x14ac:dyDescent="0.45">
      <c r="A337" s="25" t="s">
        <v>1499</v>
      </c>
      <c r="B337" s="25" t="s">
        <v>1500</v>
      </c>
      <c r="C337" s="25" t="s">
        <v>1501</v>
      </c>
    </row>
    <row r="338" spans="1:6" x14ac:dyDescent="0.45">
      <c r="A338" s="25" t="s">
        <v>1502</v>
      </c>
      <c r="B338" s="25" t="s">
        <v>1229</v>
      </c>
      <c r="C338" s="25" t="s">
        <v>1503</v>
      </c>
    </row>
    <row r="339" spans="1:6" x14ac:dyDescent="0.45">
      <c r="A339" s="25" t="s">
        <v>1504</v>
      </c>
      <c r="B339" s="25" t="s">
        <v>1505</v>
      </c>
      <c r="C339" s="25" t="s">
        <v>1506</v>
      </c>
    </row>
    <row r="340" spans="1:6" x14ac:dyDescent="0.45">
      <c r="A340" s="25" t="s">
        <v>1507</v>
      </c>
      <c r="B340" s="25" t="s">
        <v>1508</v>
      </c>
      <c r="C340" s="25" t="s">
        <v>1509</v>
      </c>
    </row>
    <row r="341" spans="1:6" x14ac:dyDescent="0.45">
      <c r="A341" s="25" t="s">
        <v>1510</v>
      </c>
      <c r="B341" s="25" t="s">
        <v>1511</v>
      </c>
      <c r="C341" s="25" t="s">
        <v>1512</v>
      </c>
    </row>
    <row r="342" spans="1:6" x14ac:dyDescent="0.45">
      <c r="A342" s="25" t="s">
        <v>1513</v>
      </c>
      <c r="B342" s="25" t="s">
        <v>1514</v>
      </c>
      <c r="C342" s="25" t="s">
        <v>1515</v>
      </c>
    </row>
    <row r="343" spans="1:6" x14ac:dyDescent="0.45">
      <c r="A343" s="25" t="s">
        <v>1516</v>
      </c>
      <c r="B343" s="25" t="s">
        <v>1517</v>
      </c>
      <c r="C343" s="25" t="s">
        <v>1518</v>
      </c>
    </row>
    <row r="344" spans="1:6" x14ac:dyDescent="0.45">
      <c r="A344" s="25" t="s">
        <v>1519</v>
      </c>
      <c r="B344" s="25" t="s">
        <v>879</v>
      </c>
      <c r="C344" s="25" t="s">
        <v>1520</v>
      </c>
    </row>
    <row r="345" spans="1:6" x14ac:dyDescent="0.45">
      <c r="A345" s="25" t="s">
        <v>1521</v>
      </c>
      <c r="B345" s="25" t="s">
        <v>1522</v>
      </c>
      <c r="C345" s="25" t="s">
        <v>1523</v>
      </c>
    </row>
    <row r="346" spans="1:6" x14ac:dyDescent="0.45">
      <c r="A346" s="25" t="s">
        <v>1524</v>
      </c>
      <c r="B346" s="25" t="s">
        <v>1322</v>
      </c>
      <c r="C346" s="25" t="s">
        <v>1525</v>
      </c>
    </row>
    <row r="347" spans="1:6" x14ac:dyDescent="0.45">
      <c r="A347" s="25" t="s">
        <v>1526</v>
      </c>
      <c r="B347" s="25" t="s">
        <v>1527</v>
      </c>
      <c r="C347" s="25" t="s">
        <v>1528</v>
      </c>
    </row>
    <row r="348" spans="1:6" x14ac:dyDescent="0.45">
      <c r="A348" s="25" t="s">
        <v>1529</v>
      </c>
      <c r="B348" s="25" t="s">
        <v>1004</v>
      </c>
      <c r="C348" s="25" t="s">
        <v>1530</v>
      </c>
    </row>
    <row r="349" spans="1:6" x14ac:dyDescent="0.45">
      <c r="A349" s="25" t="s">
        <v>1531</v>
      </c>
      <c r="B349" s="25" t="s">
        <v>1532</v>
      </c>
      <c r="C349" s="25" t="s">
        <v>1533</v>
      </c>
      <c r="D349" s="25" t="s">
        <v>894</v>
      </c>
      <c r="E349" s="25" t="s">
        <v>492</v>
      </c>
      <c r="F349" s="25" t="s">
        <v>1159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F35A-02D5-4A08-A88A-EDF42F8224FB}">
  <dimension ref="A2:H13"/>
  <sheetViews>
    <sheetView workbookViewId="0">
      <selection activeCell="F3" sqref="F3"/>
    </sheetView>
  </sheetViews>
  <sheetFormatPr defaultRowHeight="18" x14ac:dyDescent="0.45"/>
  <cols>
    <col min="1" max="1" width="10.3828125" style="26" customWidth="1"/>
    <col min="2" max="2" width="16" style="25" customWidth="1"/>
    <col min="3" max="3" width="80.61328125" style="26" customWidth="1"/>
    <col min="4" max="4" width="9.23046875" style="26"/>
    <col min="5" max="5" width="15.69140625" style="25" customWidth="1"/>
    <col min="6" max="6" width="17.69140625" style="26" customWidth="1"/>
    <col min="7" max="7" width="17.61328125" style="26" customWidth="1"/>
    <col min="8" max="8" width="17.69140625" style="25" customWidth="1"/>
    <col min="9" max="16384" width="9.23046875" style="26"/>
  </cols>
  <sheetData>
    <row r="2" spans="1:8" x14ac:dyDescent="0.45">
      <c r="A2" s="26" t="s">
        <v>2012</v>
      </c>
      <c r="B2" s="25" t="s">
        <v>2062</v>
      </c>
      <c r="C2" s="26" t="s">
        <v>2022</v>
      </c>
      <c r="E2" s="25" t="s">
        <v>2059</v>
      </c>
      <c r="F2" s="26" t="s">
        <v>2057</v>
      </c>
      <c r="G2" s="26" t="s">
        <v>516</v>
      </c>
      <c r="H2" s="25" t="s">
        <v>2058</v>
      </c>
    </row>
    <row r="3" spans="1:8" x14ac:dyDescent="0.45">
      <c r="A3" s="26" t="s">
        <v>61</v>
      </c>
      <c r="B3" s="25" t="s">
        <v>2019</v>
      </c>
      <c r="C3" s="26" t="s">
        <v>2023</v>
      </c>
      <c r="E3" s="25" t="s">
        <v>2064</v>
      </c>
      <c r="F3" s="26" t="str">
        <f>DEC2HEX(HEX2DEC(E3)-36361568,8)</f>
        <v>00021110</v>
      </c>
      <c r="G3" s="26" t="str">
        <f>DEC2HEX(HEX2DEC(H3)+36361568,8)</f>
        <v>022CD030</v>
      </c>
      <c r="H3" s="25" t="s">
        <v>2063</v>
      </c>
    </row>
    <row r="4" spans="1:8" x14ac:dyDescent="0.45">
      <c r="A4" s="26" t="s">
        <v>65</v>
      </c>
      <c r="B4" s="25">
        <v>2350560</v>
      </c>
      <c r="C4" s="26" t="s">
        <v>2024</v>
      </c>
      <c r="E4" s="25" t="s">
        <v>2020</v>
      </c>
      <c r="F4" s="26" t="str">
        <f>DEC2HEX(HEX2DEC(E4)-37029216,8)</f>
        <v>00000000</v>
      </c>
      <c r="G4" s="26" t="str">
        <f>DEC2HEX(HEX2DEC(H4)+37029216,8)</f>
        <v>02350560</v>
      </c>
      <c r="H4" s="25">
        <v>0</v>
      </c>
    </row>
    <row r="5" spans="1:8" x14ac:dyDescent="0.45">
      <c r="A5" s="26" t="s">
        <v>69</v>
      </c>
      <c r="B5" s="25" t="s">
        <v>2020</v>
      </c>
      <c r="C5" s="26" t="s">
        <v>2025</v>
      </c>
      <c r="E5" s="25" t="s">
        <v>2020</v>
      </c>
      <c r="F5" s="26" t="str">
        <f t="shared" ref="F5:F9" si="0">DEC2HEX(HEX2DEC(E5)-37029216,8)</f>
        <v>00000000</v>
      </c>
      <c r="G5" s="26" t="str">
        <f t="shared" ref="G5:G9" si="1">DEC2HEX(HEX2DEC(H5)+37029216,8)</f>
        <v>02350560</v>
      </c>
      <c r="H5" s="25">
        <v>0</v>
      </c>
    </row>
    <row r="6" spans="1:8" x14ac:dyDescent="0.45">
      <c r="A6" s="26" t="s">
        <v>73</v>
      </c>
      <c r="B6" s="25" t="s">
        <v>2020</v>
      </c>
      <c r="C6" s="26" t="s">
        <v>2027</v>
      </c>
      <c r="E6" s="25" t="s">
        <v>2020</v>
      </c>
      <c r="F6" s="26" t="str">
        <f t="shared" si="0"/>
        <v>00000000</v>
      </c>
      <c r="G6" s="26" t="str">
        <f t="shared" si="1"/>
        <v>02350560</v>
      </c>
      <c r="H6" s="25">
        <v>0</v>
      </c>
    </row>
    <row r="7" spans="1:8" x14ac:dyDescent="0.45">
      <c r="A7" s="26" t="s">
        <v>76</v>
      </c>
      <c r="B7" s="25" t="s">
        <v>2019</v>
      </c>
      <c r="C7" s="26" t="s">
        <v>2026</v>
      </c>
      <c r="E7" s="25" t="s">
        <v>2019</v>
      </c>
      <c r="F7" s="26" t="str">
        <f t="shared" ref="F4:F11" si="2">DEC2HEX(HEX2DEC(E7)-36361568,8)</f>
        <v>00000000</v>
      </c>
      <c r="G7" s="26" t="str">
        <f t="shared" ref="G4:G11" si="3">DEC2HEX(HEX2DEC(H7)+36361568,8)</f>
        <v>022AD560</v>
      </c>
      <c r="H7" s="25">
        <v>0</v>
      </c>
    </row>
    <row r="8" spans="1:8" x14ac:dyDescent="0.45">
      <c r="A8" s="26" t="s">
        <v>2013</v>
      </c>
      <c r="B8" s="25" t="s">
        <v>2020</v>
      </c>
      <c r="C8" s="26" t="s">
        <v>2028</v>
      </c>
      <c r="E8" s="25" t="s">
        <v>2020</v>
      </c>
      <c r="F8" s="26" t="str">
        <f t="shared" si="0"/>
        <v>00000000</v>
      </c>
      <c r="G8" s="26" t="str">
        <f t="shared" si="1"/>
        <v>02350560</v>
      </c>
      <c r="H8" s="25">
        <v>0</v>
      </c>
    </row>
    <row r="9" spans="1:8" x14ac:dyDescent="0.45">
      <c r="A9" s="26" t="s">
        <v>2014</v>
      </c>
      <c r="B9" s="25" t="s">
        <v>2020</v>
      </c>
      <c r="C9" s="26" t="s">
        <v>2029</v>
      </c>
      <c r="E9" s="25" t="s">
        <v>2020</v>
      </c>
      <c r="F9" s="26" t="str">
        <f t="shared" si="0"/>
        <v>00000000</v>
      </c>
      <c r="G9" s="26" t="str">
        <f t="shared" si="1"/>
        <v>02350560</v>
      </c>
      <c r="H9" s="25">
        <v>0</v>
      </c>
    </row>
    <row r="10" spans="1:8" x14ac:dyDescent="0.45">
      <c r="A10" s="26" t="s">
        <v>2015</v>
      </c>
      <c r="B10" s="25" t="s">
        <v>2021</v>
      </c>
      <c r="C10" s="26" t="s">
        <v>2030</v>
      </c>
      <c r="E10" s="25" t="s">
        <v>2021</v>
      </c>
      <c r="F10" s="26" t="str">
        <f>DEC2HEX(HEX2DEC(E10)-37587200,8)</f>
        <v>00000000</v>
      </c>
      <c r="G10" s="26" t="str">
        <f>DEC2HEX(HEX2DEC(H10)+37587200,8)</f>
        <v>023D8900</v>
      </c>
      <c r="H10" s="25">
        <v>0</v>
      </c>
    </row>
    <row r="11" spans="1:8" x14ac:dyDescent="0.45">
      <c r="A11" s="26" t="s">
        <v>903</v>
      </c>
      <c r="B11" s="25" t="s">
        <v>2018</v>
      </c>
      <c r="C11" s="26" t="s">
        <v>2031</v>
      </c>
      <c r="E11" s="25" t="s">
        <v>2018</v>
      </c>
      <c r="F11" s="26" t="str">
        <f>DEC2HEX(HEX2DEC(E11)-33545856,8)</f>
        <v>00000000</v>
      </c>
      <c r="G11" s="26" t="str">
        <f>DEC2HEX(HEX2DEC(H11)+33545856,8)</f>
        <v>01FFDE80</v>
      </c>
      <c r="H11" s="25">
        <v>0</v>
      </c>
    </row>
    <row r="13" spans="1:8" x14ac:dyDescent="0.45">
      <c r="A13" s="26" t="s">
        <v>2016</v>
      </c>
      <c r="B13" s="25" t="s">
        <v>2017</v>
      </c>
      <c r="C13" s="26" t="s">
        <v>2061</v>
      </c>
      <c r="E13" s="25" t="s">
        <v>2060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6F24-4102-4993-B5DC-EA242B734EDF}">
  <dimension ref="A1"/>
  <sheetViews>
    <sheetView workbookViewId="0">
      <selection activeCell="B1" sqref="B1"/>
    </sheetView>
  </sheetViews>
  <sheetFormatPr defaultRowHeight="18" x14ac:dyDescent="0.45"/>
  <cols>
    <col min="1" max="16384" width="9.23046875" style="26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6A85-725E-4056-A300-EC76AB519C56}">
  <dimension ref="B1"/>
  <sheetViews>
    <sheetView workbookViewId="0">
      <selection activeCell="B2" sqref="B2"/>
    </sheetView>
  </sheetViews>
  <sheetFormatPr defaultRowHeight="18" x14ac:dyDescent="0.45"/>
  <cols>
    <col min="1" max="1" width="16.15234375" style="26" customWidth="1"/>
    <col min="2" max="2" width="22.69140625" style="26" customWidth="1"/>
    <col min="3" max="16384" width="9.23046875" style="26"/>
  </cols>
  <sheetData>
    <row r="1" spans="2:2" x14ac:dyDescent="0.45">
      <c r="B1" s="26" t="s">
        <v>1537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4765-4E0D-42D9-AB22-46A3255AC387}">
  <dimension ref="B1"/>
  <sheetViews>
    <sheetView workbookViewId="0">
      <selection activeCell="B2" sqref="B2"/>
    </sheetView>
  </sheetViews>
  <sheetFormatPr defaultRowHeight="18" x14ac:dyDescent="0.45"/>
  <cols>
    <col min="1" max="1" width="13.4609375" style="26" customWidth="1"/>
    <col min="2" max="2" width="20.07421875" style="26" customWidth="1"/>
    <col min="3" max="16384" width="9.23046875" style="26"/>
  </cols>
  <sheetData>
    <row r="1" spans="2:2" x14ac:dyDescent="0.45">
      <c r="B1" s="26" t="s">
        <v>1536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E71E-50AB-45EC-9356-80A6935A6F2F}">
  <dimension ref="A1"/>
  <sheetViews>
    <sheetView workbookViewId="0">
      <selection activeCell="I19" sqref="I19"/>
    </sheetView>
  </sheetViews>
  <sheetFormatPr defaultRowHeight="18" x14ac:dyDescent="0.45"/>
  <cols>
    <col min="1" max="16384" width="9.23046875" style="26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35E8-58E7-4EA6-B135-1B6C5465348C}">
  <dimension ref="A1"/>
  <sheetViews>
    <sheetView workbookViewId="0">
      <selection activeCell="G13" sqref="G13"/>
    </sheetView>
  </sheetViews>
  <sheetFormatPr defaultRowHeight="18" x14ac:dyDescent="0.45"/>
  <cols>
    <col min="1" max="16384" width="9.23046875" style="26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7867-6912-4B33-8943-7A0B6629429A}">
  <dimension ref="B1"/>
  <sheetViews>
    <sheetView workbookViewId="0">
      <selection activeCell="B2" sqref="B2"/>
    </sheetView>
  </sheetViews>
  <sheetFormatPr defaultRowHeight="18" x14ac:dyDescent="0.45"/>
  <cols>
    <col min="1" max="1" width="17.4609375" style="26" customWidth="1"/>
    <col min="2" max="2" width="19.3828125" style="26" customWidth="1"/>
    <col min="3" max="16384" width="9.23046875" style="26"/>
  </cols>
  <sheetData>
    <row r="1" spans="2:2" x14ac:dyDescent="0.45">
      <c r="B1" s="26" t="s">
        <v>1540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00BA-8340-4F17-9B65-F172607ABEA1}">
  <dimension ref="B1"/>
  <sheetViews>
    <sheetView workbookViewId="0">
      <selection activeCell="B2" sqref="B2"/>
    </sheetView>
  </sheetViews>
  <sheetFormatPr defaultRowHeight="18" x14ac:dyDescent="0.45"/>
  <cols>
    <col min="1" max="1" width="16.921875" style="26" customWidth="1"/>
    <col min="2" max="2" width="22.4609375" style="26" customWidth="1"/>
    <col min="3" max="16384" width="9.23046875" style="26"/>
  </cols>
  <sheetData>
    <row r="1" spans="2:2" x14ac:dyDescent="0.45">
      <c r="B1" s="26" t="s">
        <v>1539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7264-858D-47EB-965C-5D1C297D07DE}">
  <dimension ref="B1"/>
  <sheetViews>
    <sheetView workbookViewId="0">
      <selection activeCell="B2" sqref="B2"/>
    </sheetView>
  </sheetViews>
  <sheetFormatPr defaultRowHeight="18" x14ac:dyDescent="0.45"/>
  <cols>
    <col min="1" max="1" width="14.23046875" style="26" customWidth="1"/>
    <col min="2" max="2" width="21.69140625" style="26" customWidth="1"/>
    <col min="3" max="16384" width="9.23046875" style="26"/>
  </cols>
  <sheetData>
    <row r="1" spans="2:2" x14ac:dyDescent="0.45">
      <c r="B1" s="26" t="s">
        <v>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Factions</vt:lpstr>
      <vt:lpstr>Units</vt:lpstr>
      <vt:lpstr>Map</vt:lpstr>
      <vt:lpstr>Map (2)</vt:lpstr>
      <vt:lpstr>ID list</vt:lpstr>
      <vt:lpstr>arm9</vt:lpstr>
      <vt:lpstr>RAM calculator</vt:lpstr>
      <vt:lpstr>overlay_0000</vt:lpstr>
      <vt:lpstr>overlay_0001</vt:lpstr>
      <vt:lpstr>overlay_0002</vt:lpstr>
      <vt:lpstr>overlay_0003</vt:lpstr>
      <vt:lpstr>overlay_0004</vt:lpstr>
      <vt:lpstr>overlay_0005</vt:lpstr>
      <vt:lpstr>overlay_0006</vt:lpstr>
      <vt:lpstr>overlay_0007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egallau37@gmail.com</cp:lastModifiedBy>
  <dcterms:modified xsi:type="dcterms:W3CDTF">2026-03-24T03:49:08Z</dcterms:modified>
</cp:coreProperties>
</file>